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astien.chicot\Documents\Demandes diverses\SPF\"/>
    </mc:Choice>
  </mc:AlternateContent>
  <xr:revisionPtr revIDLastSave="0" documentId="8_{76D7C8BB-EC38-4869-93C6-AB4A88199F93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Base_campagnes" sheetId="1" r:id="rId1"/>
    <sheet name="Outcomes_long" sheetId="2" r:id="rId2"/>
    <sheet name="Dictionnaire" sheetId="3" r:id="rId3"/>
    <sheet name="Sources" sheetId="4" r:id="rId4"/>
  </sheets>
  <definedNames>
    <definedName name="_xlnm._FilterDatabase" localSheetId="0" hidden="1">Base_campagnes!$A$1:$AO$31</definedName>
    <definedName name="_xlnm._FilterDatabase" localSheetId="2" hidden="1">Dictionnaire!$A$1:$C$45</definedName>
    <definedName name="_xlnm._FilterDatabase" localSheetId="1" hidden="1">Outcomes_long!$A$1:$M$202</definedName>
    <definedName name="_xlnm._FilterDatabase" localSheetId="3" hidden="1">Sources!$A$1:$F$32</definedName>
  </definedName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1" i="1" l="1"/>
  <c r="AF30" i="1"/>
  <c r="AF29" i="1"/>
  <c r="G29" i="1"/>
  <c r="AF28" i="1"/>
  <c r="G28" i="1"/>
  <c r="AF27" i="1"/>
  <c r="G27" i="1"/>
  <c r="AF26" i="1"/>
  <c r="G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F8" i="1"/>
  <c r="AF7" i="1"/>
  <c r="AF6" i="1"/>
  <c r="AF5" i="1"/>
  <c r="AF4" i="1"/>
  <c r="AF3" i="1"/>
  <c r="A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Unité: une ligne = une campagne x vague/édition. Les métriques plus rares et les sous-populations sont dans Outcomes_long afin de limiter le nombre de colonnes.</t>
        </r>
      </text>
    </comment>
  </commentList>
</comments>
</file>

<file path=xl/sharedStrings.xml><?xml version="1.0" encoding="utf-8"?>
<sst xmlns="http://schemas.openxmlformats.org/spreadsheetml/2006/main" count="2594" uniqueCount="942">
  <si>
    <t>campaign_id</t>
  </si>
  <si>
    <t>wave_id</t>
  </si>
  <si>
    <t>campagne</t>
  </si>
  <si>
    <t>annee</t>
  </si>
  <si>
    <t>date_debut</t>
  </si>
  <si>
    <t>date_fin</t>
  </si>
  <si>
    <t>duree_jours</t>
  </si>
  <si>
    <t>organisme</t>
  </si>
  <si>
    <t>zone</t>
  </si>
  <si>
    <t>theme_1</t>
  </si>
  <si>
    <t>theme_2</t>
  </si>
  <si>
    <t>objectif_principal</t>
  </si>
  <si>
    <t>comportement_cible</t>
  </si>
  <si>
    <t>cible</t>
  </si>
  <si>
    <t>age_min</t>
  </si>
  <si>
    <t>age_max</t>
  </si>
  <si>
    <t>canaux</t>
  </si>
  <si>
    <t>nb_canaux</t>
  </si>
  <si>
    <t>multimedia</t>
  </si>
  <si>
    <t>digital_only</t>
  </si>
  <si>
    <t>grp_tv_vol</t>
  </si>
  <si>
    <t>grp_radio</t>
  </si>
  <si>
    <t>intensite_note</t>
  </si>
  <si>
    <t>memorisation_spontanee_pct</t>
  </si>
  <si>
    <t>reconnaissance_pct</t>
  </si>
  <si>
    <t>utilite_pct</t>
  </si>
  <si>
    <t>concerne_pct</t>
  </si>
  <si>
    <t>incitation_pct</t>
  </si>
  <si>
    <t>impact_metric</t>
  </si>
  <si>
    <t>impact_pct</t>
  </si>
  <si>
    <t>impact_comparateur_pct</t>
  </si>
  <si>
    <t>impact_delta_pp</t>
  </si>
  <si>
    <t>trafic_metric</t>
  </si>
  <si>
    <t>trafic_valeur</t>
  </si>
  <si>
    <t>trafic_unite</t>
  </si>
  <si>
    <t>trafic_variation_pct</t>
  </si>
  <si>
    <t>conversion_pct</t>
  </si>
  <si>
    <t>n_evaluation</t>
  </si>
  <si>
    <t>design_evaluation</t>
  </si>
  <si>
    <t>source_document</t>
  </si>
  <si>
    <t>notes</t>
  </si>
  <si>
    <t>JENPARLEA</t>
  </si>
  <si>
    <t>JENPARLEA_2021</t>
  </si>
  <si>
    <t>J'en parle à / #JenParleA</t>
  </si>
  <si>
    <t>Santé publique France</t>
  </si>
  <si>
    <t>France</t>
  </si>
  <si>
    <t>Santé mentale</t>
  </si>
  <si>
    <t>Mal-être / difficultés psychologiques</t>
  </si>
  <si>
    <t>Inciter à parler et orienter vers une ressource</t>
  </si>
  <si>
    <t>Parler de son mal-être / recourir à Fil Santé Jeunes</t>
  </si>
  <si>
    <t>Adolescents 11-17 ans</t>
  </si>
  <si>
    <t>Réseaux sociaux; bannières web; SMS; influence</t>
  </si>
  <si>
    <t>Campagne 100% digitale; 3 spots 15s, 4 bannières, 3 SMS, 14 influenceurs + 3 célébrités</t>
  </si>
  <si>
    <t>A parlé de son mal-être (jeunes en mal-être, reconnu vs non reconnu)</t>
  </si>
  <si>
    <t>Visites quotidiennes Fil Santé Jeunes</t>
  </si>
  <si>
    <t>Post-test national + séries temporelles FSJ, comparaison avant/pendant/après</t>
  </si>
  <si>
    <t>2022_LePointSur_sante_mentale_ados_140322vf.pdf</t>
  </si>
  <si>
    <t>Utilisation FSJ: 6,2% vs 0,5% chez reconnus vs non reconnus. Messages tchat reçus +116%; traités +124%.</t>
  </si>
  <si>
    <t>JENPARLEA_2022</t>
  </si>
  <si>
    <t>#JenParleA</t>
  </si>
  <si>
    <t>Réseaux sociaux; web/média digital; affichage</t>
  </si>
  <si>
    <t>Budget 1,8x 2021; durée 5x; 4 stories + 1 challenge + 5 micro-trottoirs; 69 230 affiches / 30 599 points de distribution</t>
  </si>
  <si>
    <t>A parlé à quelqu’un (jeunes tristes/angoissés; 2022 vs comparaison rapportée)</t>
  </si>
  <si>
    <t>Post-test national + séries temporelles FSJ; avant/pendant/après et comparaison année précédente</t>
  </si>
  <si>
    <t>2023_LePointSur_Eval-campagne-SM-ados-2022.pdf</t>
  </si>
  <si>
    <t>Reconnaissance affichage 42%; digital 39%. Navigation +48%; messages tchat difficultés psy +29%. Différence comportement 55% vs 50% non significative.</t>
  </si>
  <si>
    <t>SM_ADULTES_PARLER</t>
  </si>
  <si>
    <t>SM_ADULTES_PARLER_2021</t>
  </si>
  <si>
    <t>En parler, c'est déjà se soigner</t>
  </si>
  <si>
    <t>Anxiété / dépression / recours aux soins</t>
  </si>
  <si>
    <t>Repérage précoce et recours à l’aide</t>
  </si>
  <si>
    <t>Parler / consulter / utiliser une ressource de soutien</t>
  </si>
  <si>
    <t>Adultes / grand public</t>
  </si>
  <si>
    <t>TV; radio; digital</t>
  </si>
  <si>
    <t>1 film TV 30s; 3 spots radio; bannières et stories</t>
  </si>
  <si>
    <t>Consultation d’un professionnel pour anxiété/dépression (reconnu vs non reconnu)</t>
  </si>
  <si>
    <t>Visites quotidiennes Psycom</t>
  </si>
  <si>
    <t>Post-test national + CoviPrev + séries temporelles des dispositifs</t>
  </si>
  <si>
    <t>2022_LePointSur_sante_mentale_adulte_140322vf.pdf</t>
  </si>
  <si>
    <t>Transferts appels soutien psy +96%; visites FSJ +25%. Recours aide/site: 11,8% vs 7,7%, p&lt;0,001.</t>
  </si>
  <si>
    <t>NUTRISCORE</t>
  </si>
  <si>
    <t>NUTRISCORE_2025</t>
  </si>
  <si>
    <t>Nouveau Nutri-Score. Encore + juste. Encore + utile</t>
  </si>
  <si>
    <t>France hexagonale</t>
  </si>
  <si>
    <t>Nutrition</t>
  </si>
  <si>
    <t>Information nutritionnelle / Nutri-Score</t>
  </si>
  <si>
    <t>Informer sur l’évolution du Nutri-Score et réactiver son usage</t>
  </si>
  <si>
    <t>Regarder et utiliser le Nutri-Score lors des achats</t>
  </si>
  <si>
    <t>Population 15 ans et plus</t>
  </si>
  <si>
    <t>TV; radio; vidéo en ligne; bannières; influence; brochure</t>
  </si>
  <si>
    <t>Volet notoriété TV + volet pédagogique multicanal</t>
  </si>
  <si>
    <t>Incite à tenir compte du Nutri-Score pour comparer les produits</t>
  </si>
  <si>
    <t>Post-test national représentatif en ligne</t>
  </si>
  <si>
    <t>spf00006548.pdf</t>
  </si>
  <si>
    <t>Reconnaissance TV 51%; vidéos pédagogiques 22%. 94% clair; 87% informations nouvelles; 87% convaincante. 68% déclarent déjà tenir compte du Nutri-Score souvent/parfois.</t>
  </si>
  <si>
    <t>RAVAGES</t>
  </si>
  <si>
    <t>RAVAGES_2019_03</t>
  </si>
  <si>
    <t>Ravages / Pour votre santé, l’alcool c’est maximum 2 verres par jour. Et pas tous les jours.</t>
  </si>
  <si>
    <t>Alcool</t>
  </si>
  <si>
    <t>Repères de consommation / risques à long terme</t>
  </si>
  <si>
    <t>Informer sur les risques et repères puis réduire la consommation</t>
  </si>
  <si>
    <t>Évaluer et réduire sa consommation d’alcool</t>
  </si>
  <si>
    <t>Grand public / consommateurs dépassant les repères</t>
  </si>
  <si>
    <t>TV; radio; digital; affichage; vidéos lieux de santé; publi-rédactionnels</t>
  </si>
  <si>
    <t>Première diffusion; évaluation longitudinale dédiée disponible</t>
  </si>
  <si>
    <t>Questionnaires alcoomètre complétés par jour</t>
  </si>
  <si>
    <t>Visites alcoomètre par jour</t>
  </si>
  <si>
    <t>visites/jour</t>
  </si>
  <si>
    <t>Données de trafic et d’utilisation de l’alcoomètre pendant les vagues</t>
  </si>
  <si>
    <t>spf00006668.pdf; 727296_spf00005292.pdf</t>
  </si>
  <si>
    <t>Questionnaires alcoomètre/jour: 15 243</t>
  </si>
  <si>
    <t>RAVAGES_2020_11</t>
  </si>
  <si>
    <t>TV; radio; digital; presse; affichage; partenariats médias</t>
  </si>
  <si>
    <t>Rediffusion novembre 2020</t>
  </si>
  <si>
    <t>spf00006668.pdf</t>
  </si>
  <si>
    <t>Questionnaires alcoomètre/jour: 8 368</t>
  </si>
  <si>
    <t>RAVAGES_2021_03</t>
  </si>
  <si>
    <t>TV; radio; digital; presse; partenariats médias</t>
  </si>
  <si>
    <t>Rediffusion mars 2021</t>
  </si>
  <si>
    <t>Questionnaires alcoomètre/jour: 5 324</t>
  </si>
  <si>
    <t>RAVAGES_2021_11</t>
  </si>
  <si>
    <t>Rediffusion novembre 2021</t>
  </si>
  <si>
    <t>Questionnaires alcoomètre/jour: 5 741</t>
  </si>
  <si>
    <t>RAVAGES_2022_03</t>
  </si>
  <si>
    <t>Rediffusion mars 2022</t>
  </si>
  <si>
    <t>Questionnaires alcoomètre/jour: 5 875</t>
  </si>
  <si>
    <t>AIS_PROMO</t>
  </si>
  <si>
    <t>AIS_PROMO_2024_11</t>
  </si>
  <si>
    <t>Promotion Alcool Info Service</t>
  </si>
  <si>
    <t>Aide à distance / autoévaluation</t>
  </si>
  <si>
    <t>Faire connaître le dispositif et générer un recours qualifié</t>
  </si>
  <si>
    <t>Visiter Alcool Info Service / compléter l’alcoomètre</t>
  </si>
  <si>
    <t>Consommateurs; entourage; parents d’adolescents; femmes enceintes</t>
  </si>
  <si>
    <t>Digital (vidéo/audio/display/réseaux sociaux); affichage lieux de santé</t>
  </si>
  <si>
    <t>Budget plus limité, pas de médias de masse, diffusion prolongée et ciblée</t>
  </si>
  <si>
    <t>Données de trafic et d’utilisation de l’alcoomètre</t>
  </si>
  <si>
    <t>4 468 questionnaires complétés/jour; taux de rebond 39%.</t>
  </si>
  <si>
    <t>ZERO_ALCOOL_GROSSESSE</t>
  </si>
  <si>
    <t>ZERO_ALCOOL_GROSSESSE_2018</t>
  </si>
  <si>
    <t>Zéro alcool pendant la grossesse</t>
  </si>
  <si>
    <t>Métropole + DROM</t>
  </si>
  <si>
    <t>Grossesse / alcoolisation fœtale</t>
  </si>
  <si>
    <t>Faire connaître le principe de précaution et les risques</t>
  </si>
  <si>
    <t>Ne pas consommer d’alcool pendant la grossesse</t>
  </si>
  <si>
    <t>Grand public; femmes en âge de procréer; professionnels de santé</t>
  </si>
  <si>
    <t>Presse; digital; influence; vidéo lieux de soins; affichage DROM; radio DROM</t>
  </si>
  <si>
    <t>Dispositif différencié Métropole/DROM; cible prioritaire femmes 18-50 ans</t>
  </si>
  <si>
    <t>Incitation à ne pas boire en cas de grossesse (femmes en âge de procréer exposées, métropole)</t>
  </si>
  <si>
    <t>Post-test Métropole (internet) et DROM (face-à-face)</t>
  </si>
  <si>
    <t>224433_spf00001253.pdf</t>
  </si>
  <si>
    <t>Reconnaissance globale non agrégée: 32% Métropole, 77% DROM. Mémorisation spontanée: 40% Métropole, 52% DROM. Valeurs territoriales détaillées dans Outcomes_long.</t>
  </si>
  <si>
    <t>MONTPELLIER_VHC</t>
  </si>
  <si>
    <t>MONTPELLIER_VHC_2019</t>
  </si>
  <si>
    <t>Montpellier sans hépatite C</t>
  </si>
  <si>
    <t>Partenariat local / Santé publique France</t>
  </si>
  <si>
    <t>Montpellier</t>
  </si>
  <si>
    <t>Maladies infectieuses</t>
  </si>
  <si>
    <t>Hépatite C / dépistage</t>
  </si>
  <si>
    <t>Augmenter le dépistage universel et orienter les positifs vers les soins</t>
  </si>
  <si>
    <t>Réaliser un test de dépistage VHC</t>
  </si>
  <si>
    <t>Population montpelliéraine / personnes à statut VHC inconnu</t>
  </si>
  <si>
    <t>Laboratoires; professionnels de santé; médias; partenaires locaux</t>
  </si>
  <si>
    <t>Dépistage gratuit, sans ordonnance et sans avance de frais; mobilisation multi-partenariale</t>
  </si>
  <si>
    <t>Tests de dépistage vs même période 2018</t>
  </si>
  <si>
    <t>Tests réalisés</t>
  </si>
  <si>
    <t>personnes testées</t>
  </si>
  <si>
    <t>Évaluation d’activité + questionnaire au prélèvement + comparaison années précédentes</t>
  </si>
  <si>
    <t>429383_spf00003176.pdf</t>
  </si>
  <si>
    <t>Reconnaissance = 61,3% des répondants au questionnaire connaissaient l’opération (100%-38,7% sans connaissance), population déjà dépistée donc non comparable à un post-test populationnel. +22% tests vs 2018; 8,7% sans ordonnance; 90 sérologies positives, 9 ARN positifs pris en charge.</t>
  </si>
  <si>
    <t>MOIS_SANS_TABAC</t>
  </si>
  <si>
    <t>MOIS_SANS_TABAC_2016</t>
  </si>
  <si>
    <t>Mois sans tabac</t>
  </si>
  <si>
    <t>France métropolitaine</t>
  </si>
  <si>
    <t>Tabac</t>
  </si>
  <si>
    <t>Sevrage tabagique / arrêt du tabac</t>
  </si>
  <si>
    <t>Déclencher une tentative d’arrêt de 30 jours</t>
  </si>
  <si>
    <t>Faire une tentative d’arrêt du tabac</t>
  </si>
  <si>
    <t>Fumeurs</t>
  </si>
  <si>
    <t>Médias traditionnels et digitaux; actions de proximité; Tabac info service; professionnels de santé</t>
  </si>
  <si>
    <t>Campagne annuelle; communication dès octobre, défi de 30 jours en novembre</t>
  </si>
  <si>
    <t>Tentative d’arrêt &gt;=24h attribuable à Mois sans tabac</t>
  </si>
  <si>
    <t>Inscriptions sur le site Mois sans tabac</t>
  </si>
  <si>
    <t>inscriptions</t>
  </si>
  <si>
    <t>Baromètre Santé; estimation rétrospective des tentatives d’arrêt attribuables</t>
  </si>
  <si>
    <t>455190_spf00003337.pdf</t>
  </si>
  <si>
    <t>Taux total de tentative arrêt au T4: 15.9%; nombre estimé de tentatives attribuables: 380 000</t>
  </si>
  <si>
    <t>MOIS_SANS_TABAC_2017</t>
  </si>
  <si>
    <t>Taux total de tentative arrêt au T4: 18.7%; nombre estimé de tentatives attribuables: 360 000</t>
  </si>
  <si>
    <t>MOIS_SANS_TABAC_2018</t>
  </si>
  <si>
    <t>Taux total de tentative arrêt au T4: 22.5%; nombre estimé de tentatives attribuables: 550 000</t>
  </si>
  <si>
    <t>MOIS_SANS_TABAC_2019</t>
  </si>
  <si>
    <t>Taux total de tentative arrêt au T4: 24.4%; nombre estimé de tentatives attribuables: 520 000</t>
  </si>
  <si>
    <t>REVELATION_TABAC</t>
  </si>
  <si>
    <t>REVELATION_TABAC_2002</t>
  </si>
  <si>
    <t>Révélation</t>
  </si>
  <si>
    <t>Assurance Maladie / INPES</t>
  </si>
  <si>
    <t>Risques du tabagisme / toxicité de la fumée</t>
  </si>
  <si>
    <t>Alerter sur la toxicité de la fumée de cigarette</t>
  </si>
  <si>
    <t>Prendre conscience des risques / favoriser une démarche d’arrêt</t>
  </si>
  <si>
    <t>TV; relais médias</t>
  </si>
  <si>
    <t>Campagne TV courte de 15 jours; 3 films; forte reprise médiatique et polémique</t>
  </si>
  <si>
    <t>Post-test représentatif population 15 ans et plus après diffusion</t>
  </si>
  <si>
    <t>15085_doc00001743.pdf</t>
  </si>
  <si>
    <t>83% des reconnaisseurs ont aimé la campagne. Rejet plus marqué chez certains fumeurs; seulement 51% des fumeurs non dissonants ont une appréciation positive.</t>
  </si>
  <si>
    <t>ANTIBIOS_QUAND_IL_FAUT</t>
  </si>
  <si>
    <t>ANTIBIOS_QUAND_IL_FAUT_2002</t>
  </si>
  <si>
    <t>Antibios quand il faut</t>
  </si>
  <si>
    <t>GEPIE / InVS et partenaires</t>
  </si>
  <si>
    <t>Alpes-Maritimes</t>
  </si>
  <si>
    <t>Antibiorésistance / bon usage des antibiotiques</t>
  </si>
  <si>
    <t>Réduire les prescriptions antibiotiques inappropriées et la résistance bactérienne</t>
  </si>
  <si>
    <t>Réduire la prescription / demande d’antibiotiques pour infections virales de l’enfant</t>
  </si>
  <si>
    <t>Médecins; pharmaciens; parents d’enfants &lt;8 ans; personnels de crèche</t>
  </si>
  <si>
    <t>Visites confraternelles; brochures; affiches; presse; radio/TV; web; relais professionnels</t>
  </si>
  <si>
    <t>Programme départemental prévu 2000-2005; 2 500 fiches praticiens, 140 000 dépliants, 10 000 affiches; visites confraternelles à grande échelle</t>
  </si>
  <si>
    <t>Médecins jugeant la campagne comme une aide à réduire la prescription</t>
  </si>
  <si>
    <t>Audit externe + questionnaire auprès de médecins visités + données avant/après et surveillance des prescriptions/résistances</t>
  </si>
  <si>
    <t>82475_715-d123.pdf</t>
  </si>
  <si>
    <t>94% des médecins interrogés se souvenaient de la visite confraternelle. 66% la jugeaient utile pour la négociation thérapeutique. Enquête crèches: ~10% de baisse du nombre d’enfants traités par antibiotiques, mais données CRAM sans baisse significative depuis 1999; causalité non établie.</t>
  </si>
  <si>
    <t>DEP_COLON_ORGANISE</t>
  </si>
  <si>
    <t>DEP_COLON_ORGANISE_2008_2009</t>
  </si>
  <si>
    <t>Dépistage organisé du cancer colorectal</t>
  </si>
  <si>
    <t>DGS / Assurance Maladie / INCa / InVS</t>
  </si>
  <si>
    <t>46 départements français</t>
  </si>
  <si>
    <t>Cancer</t>
  </si>
  <si>
    <t>Cancer colorectal / dépistage</t>
  </si>
  <si>
    <t>Augmenter la participation au dépistage organisé</t>
  </si>
  <si>
    <t>Réaliser un test de dépistage tous les deux ans</t>
  </si>
  <si>
    <t>Hommes et femmes 50-74 ans à risque moyen</t>
  </si>
  <si>
    <t>Invitation organisée; relais médecins / structures de gestion</t>
  </si>
  <si>
    <t>Programme national organisé avec invitation biennale; période complète 2008-2009 dans 46 départements</t>
  </si>
  <si>
    <t>Participation au programme de dépistage</t>
  </si>
  <si>
    <t>Personnes ayant réalisé un test</t>
  </si>
  <si>
    <t>personnes dépistées</t>
  </si>
  <si>
    <t>Évaluation épidémiologique sur données administratives; 46 départements; période biennale</t>
  </si>
  <si>
    <t>36242_11149-ps.pdf</t>
  </si>
  <si>
    <t>34,3% de participation, sous le seuil européen minimal recommandé de 45%. 88% des personnes éligibles après test positif ont réalisé une coloscopie; 2,8% des tests étaient positifs.</t>
  </si>
  <si>
    <t>RATTRAPAGE_VACCINAL_MAYOTTE</t>
  </si>
  <si>
    <t>RATTRAPAGE_VACCINAL_MAYOTTE_2018</t>
  </si>
  <si>
    <t>Campagne de rattrapage vaccinal des enfants de moins de 6 ans à Mayotte</t>
  </si>
  <si>
    <t>ARS Océan Indien / Santé publique France</t>
  </si>
  <si>
    <t>Mayotte</t>
  </si>
  <si>
    <t>Vaccination</t>
  </si>
  <si>
    <t>Rattrapage vaccinal / maladies à prévention vaccinale</t>
  </si>
  <si>
    <t>Mettre à jour le statut vaccinal des enfants insuffisamment vaccinés</t>
  </si>
  <si>
    <t>Faire vérifier et compléter la vaccination des enfants</t>
  </si>
  <si>
    <t>Enfants de moins de 6 ans et leurs familles</t>
  </si>
  <si>
    <t>Affichage; radio; TV; presse; médias communautaires; partenaires locaux/religieux; centres temporaires</t>
  </si>
  <si>
    <t>39 centres temporaires; 110 réservistes sanitaires; 90 000 doses acheminées; communication tous médias y compris communautaires</t>
  </si>
  <si>
    <t>Part des enfants de moins de 6 ans ayant bénéficié de la campagne</t>
  </si>
  <si>
    <t>Enfants présentés dans les centres temporaires</t>
  </si>
  <si>
    <t>enfants</t>
  </si>
  <si>
    <t>Évaluation épidémiologique descriptive de l’activité, du statut vaccinal et des rattrapages</t>
  </si>
  <si>
    <t>242525_spf00001115.pdf</t>
  </si>
  <si>
    <t>Plus de la moitié des enfants présentés ont nécessité un rattrapage. La participation correspond à environ 47% des 47 805 enfants de moins de 6 ans; barrières possibles de littératie, Ramadan, statut administratif et séismes.</t>
  </si>
  <si>
    <t>NBCSP_GIFT_FOR_LIVING</t>
  </si>
  <si>
    <t>NBCSP_GIFT_FOR_LIVING_2015</t>
  </si>
  <si>
    <t>A Gift for Living – National Bowel Cancer Screening Program</t>
  </si>
  <si>
    <t>Australian Government Department of Health</t>
  </si>
  <si>
    <t>Australie</t>
  </si>
  <si>
    <t>Accroître la connaissance du programme et la participation au dépistage</t>
  </si>
  <si>
    <t>Réaliser et renvoyer le kit de dépistage FOBT reçu à domicile</t>
  </si>
  <si>
    <t>Hommes et femmes de 50 à 74 ans</t>
  </si>
  <si>
    <t>Presse; radio; affichage/OOH; digital; relations publiques</t>
  </si>
  <si>
    <t>Première vague lancée le 12/04/2015 et terminée environ un mois plus tard; petit second burst radio/presse fin juin non capturé par ce post-test.</t>
  </si>
  <si>
    <t>FOBT à domicile réalisé dans les 12 derniers mois (exposés vs non exposés)</t>
  </si>
  <si>
    <t>Post-test national CATI, échantillon 50-74 ans pondéré; comparaison exposés/non exposés</t>
  </si>
  <si>
    <t>national-bowel-cancer-screening-program-campaign-evaluation-2015-national-bowel-cancer-screening-campaign-evaluation-2015(1).pdf</t>
  </si>
  <si>
    <t>Campagne multicanal de sensibilisation au dépistage. L’association exposition-comportement n’établit pas à elle seule la causalité.</t>
  </si>
  <si>
    <t>NBCSP_GIFT_FOR_LIVING_2016</t>
  </si>
  <si>
    <t>Même mix de médias de masse qu’en 2015; dépense média 2016 indiquée comme 10% inférieure à 2015.</t>
  </si>
  <si>
    <t>Participation déclarée au NBCSP parmi les destinataires du kit</t>
  </si>
  <si>
    <t>Post-test CATI national (n=400) comparable à 2015 + enquête online complémentaire (n=1 036)</t>
  </si>
  <si>
    <t>national-bowel-cancer-screening-program-campaign-evaluation-2016-national-bowel-cancer-screening-campaign-evaluation-2016(1).pdf</t>
  </si>
  <si>
    <t>Hausse 2015-2016 à interpréter avec prudence: deux nouveaux âges éligibles ont été ajoutés en janvier 2016.</t>
  </si>
  <si>
    <t>STOPTOBER</t>
  </si>
  <si>
    <t>STOPTOBER_2016</t>
  </si>
  <si>
    <t>Stoptober</t>
  </si>
  <si>
    <t>Public Health England</t>
  </si>
  <si>
    <t>Angleterre</t>
  </si>
  <si>
    <t>Sevrage tabagique</t>
  </si>
  <si>
    <t>Motiver les fumeurs à faire une tentative d’arrêt pendant 28 jours</t>
  </si>
  <si>
    <t>Faire une tentative d’arrêt du tabac et la maintenir au moins 28 jours</t>
  </si>
  <si>
    <t>Fumeurs en Angleterre, avec focus C2DE</t>
  </si>
  <si>
    <t>Digital; réseaux sociaux; relations publiques; e-mail; partenariats</t>
  </si>
  <si>
    <t>14 jours de médias payants/PR; budget média £390k, soit -87% vs 2015; stratégie payante digital/social uniquement.</t>
  </si>
  <si>
    <t>Tentative d’arrêt attribuée à Stoptober</t>
  </si>
  <si>
    <t>Tracking online pré/pendant/post auprès de fumeurs et ex-fumeurs récents + données digitales/web</t>
  </si>
  <si>
    <t>Stoptober_2016_campaign_evaluation(1).pdf</t>
  </si>
  <si>
    <t>Brand recognition 67%. Modélisation: 124 500 tentatives d’arrêt incrémentales estimées; ROI 3 ans £4.22.</t>
  </si>
  <si>
    <t>STOPTOBER_2017</t>
  </si>
  <si>
    <t>Fumeurs et ex-fumeurs récents en Angleterre, focus C2DE</t>
  </si>
  <si>
    <t>TV; radio; digital; relations publiques; partenariats</t>
  </si>
  <si>
    <t>Budget total £2.1m; budget média £1.2m; retour de la TV et de la radio après la stratégie digital-only de 2016.</t>
  </si>
  <si>
    <t>Téléchargements de l’application Stoptober</t>
  </si>
  <si>
    <t>téléchargements</t>
  </si>
  <si>
    <t>Tracking online pré/post + Smoking Toolkit Study + diagnostics digitaux, outils et web</t>
  </si>
  <si>
    <t>Stoptober_2017_campaign_evaluation(1).pdf</t>
  </si>
  <si>
    <t>Brand recognition 76%; plus de 200 000 visites web. 8% de tous les fumeurs/ex-fumeurs récents encore non-fumeurs après un mois.</t>
  </si>
  <si>
    <t>STOPTOBER_2018</t>
  </si>
  <si>
    <t>Motiver les fumeurs à faire une tentative d’arrêt et promouvoir l’usage d’aides au sevrage</t>
  </si>
  <si>
    <t>Faire une tentative d’arrêt du tabac avec soutien et la maintenir au moins 28 jours</t>
  </si>
  <si>
    <t>Fumeurs et ex-fumeurs récents en Angleterre</t>
  </si>
  <si>
    <t>20/09-31/10/2018; budget média £1.2m; TV leader, soutenue par radio et digital.</t>
  </si>
  <si>
    <t>Tracking online pré/post + Smoking Toolkit Study + données digitales/web; évaluation spécifique Personal Quit Plan</t>
  </si>
  <si>
    <t>Stoptober_2018_evaluation(1).pdf</t>
  </si>
  <si>
    <t>Brand recognition 83%; 91 135 complétions du Personal Quit Plan; 18% ont déclaré une tentative avec une aide.</t>
  </si>
  <si>
    <t>STOPTOBER_2019</t>
  </si>
  <si>
    <t>Radio; affichage/OOH; digital; relations publiques; partenariats</t>
  </si>
  <si>
    <t>19/09-06/10/2019; pas de TV broadcast; budget média £1.0m; radio + OOH ciblé + digital national + PR.</t>
  </si>
  <si>
    <t>Tentative d’arrêt attribuée à Stoptober (série historique Kantar)</t>
  </si>
  <si>
    <t>Tracking quantitatif + Smoking Toolkit Study + données digitales/web; transition Kantar vers YouGov</t>
  </si>
  <si>
    <t>Stoptober_2019_Evaluation(1).pdf</t>
  </si>
  <si>
    <t>Rupture méthodologique importante: YouGov, jugé plus représentatif pour la suite, donne 11% de tentatives attribuées et 5% maintenues à 4 semaines, contre 25%/9% dans la série Kantar.</t>
  </si>
  <si>
    <t>STOPTOBER_2020</t>
  </si>
  <si>
    <t>Stoptober / Better Health</t>
  </si>
  <si>
    <t>Motiver les fumeurs à arrêter dans le contexte Better Health/Covid-19</t>
  </si>
  <si>
    <t>Radio; affichage/OOH; vidéo à la demande; digital; relations publiques; partenariats</t>
  </si>
  <si>
    <t>21/09-18/10/2020; budget média £990k; Stoptober intégré sous la marque Better Health.</t>
  </si>
  <si>
    <t>Tentative d’arrêt liée à la campagne (mesure 2020 Better Health/Stoptober)</t>
  </si>
  <si>
    <t>Tracking online pré/post YouGov + données marché, digitales, PR, partenariats et web</t>
  </si>
  <si>
    <t>Stoptober_2020_Evaluation(1).pdf</t>
  </si>
  <si>
    <t>Mesure non strictement comparable aux années antérieures à cause du changement de marque/mesure. Brand awareness 40%; campagne recall 35%.</t>
  </si>
  <si>
    <t>JUST_BREATHE_MOBILE</t>
  </si>
  <si>
    <t>JUST_BREATHE_MOBILE_2011_2012</t>
  </si>
  <si>
    <t>Just Breathe Smoke Free</t>
  </si>
  <si>
    <t>Mobile County Health Department</t>
  </si>
  <si>
    <t>Mobile County, Alabama, États-Unis</t>
  </si>
  <si>
    <t>Tabagisme passif / environnements sans fumée</t>
  </si>
  <si>
    <t>Accroître les connaissances sur le tabagisme passif et le soutien aux environnements sans fumée</t>
  </si>
  <si>
    <t>Soutenir les politiques d’espaces sans fumée</t>
  </si>
  <si>
    <t>Adultes résidant dans le Mobile County</t>
  </si>
  <si>
    <t>TV; radio; presse; affichage; digital</t>
  </si>
  <si>
    <t>12 mois: 1 700 spots TV + 2 100 câble + 8 500 radio + 200 insertions presse; affichage circulation effective 488k/j; &gt;20m impressions digitales. Chevauchement avec CDC Tips pendant 12 semaines.</t>
  </si>
  <si>
    <t>Soutien aux bars sans fumée (post vs pré)</t>
  </si>
  <si>
    <t>Enquêtes téléphoniques transversales répétées pré (n=845) / post (n=766)</t>
  </si>
  <si>
    <t>14_0106(1).pdf</t>
  </si>
  <si>
    <t>Hausse significative pour les bars (p=.01). Attribution spécifique à Just Breathe limitée car chevauchement avec Tips From Former Smokers.</t>
  </si>
  <si>
    <t>CHANGE4LIFE_CONVENIENCE</t>
  </si>
  <si>
    <t>CHANGE4LIFE_CONVENIENCE_2008_2009</t>
  </si>
  <si>
    <t>Change4Life Convenience Stores</t>
  </si>
  <si>
    <t>UK Department of Health / Association of Convenience Stores</t>
  </si>
  <si>
    <t>Nord-Est de l’Angleterre</t>
  </si>
  <si>
    <t>Fruits et légumes / alimentation saine</t>
  </si>
  <si>
    <t>Augmenter la disponibilité, l’achat et la consommation de fruits et légumes dans les zones défavorisées</t>
  </si>
  <si>
    <t>Acheter et consommer davantage de fruits et légumes</t>
  </si>
  <si>
    <t>Clients de commerces de proximité en zones défavorisées</t>
  </si>
  <si>
    <t>Promotion en magasin/POS; branding Change4Life; partenariats; communication locale</t>
  </si>
  <si>
    <t>Intervention de point de vente, pas une campagne média classique; magasins pilotes et de déploiement.</t>
  </si>
  <si>
    <t>Consommation de fruits/légumes la plupart ou tous les jours (à 7 mois vs initial)</t>
  </si>
  <si>
    <t>Études pré/post de magasins pilotes, données de ventes et comparaison de magasins; petit effectif</t>
  </si>
  <si>
    <t>dh_120801(1).pdf</t>
  </si>
  <si>
    <t>À conserver comme intervention de marketing social/comportementale. Les résultats de vente et de consommation sont utiles mais moins directement comparables aux campagnes média.</t>
  </si>
  <si>
    <t>EAAD</t>
  </si>
  <si>
    <t>EAAD_2012</t>
  </si>
  <si>
    <t>European Antibiotic Awareness Day</t>
  </si>
  <si>
    <t>UK Department of Health / ARHAI</t>
  </si>
  <si>
    <t>Royaume-Uni (dans initiative européenne)</t>
  </si>
  <si>
    <t>Antibiotiques / résistance antimicrobienne</t>
  </si>
  <si>
    <t>Informer sur le bon usage des antibiotiques et promouvoir une prescription appropriée</t>
  </si>
  <si>
    <t>Réduire les prescriptions/usages inappropriés d’antibiotiques</t>
  </si>
  <si>
    <t>Professionnels de santé, patients et grand public</t>
  </si>
  <si>
    <t>Matériels éducatifs; presse professionnelle; TV/radio; web; réseaux sociaux; vidéos en cabinets; relais locaux</t>
  </si>
  <si>
    <t>Journée du 18 novembre avec activités nationales/locales; 86 420 leaflets, 9 258 posters, 18 éditoriaux, vidéos et forte couverture média.</t>
  </si>
  <si>
    <t>Pages NHS Choices liées à EAAD</t>
  </si>
  <si>
    <t>vues</t>
  </si>
  <si>
    <t>Suivi d’activité, web analytics et petite enquête auprès des organisations participantes</t>
  </si>
  <si>
    <t>EAAD_2012_EVALUATION__Final_01.08.13_(1).pdf</t>
  </si>
  <si>
    <t>Évaluation surtout de processus/portée; peu d’indicateurs comportementaux directement comparables.</t>
  </si>
  <si>
    <t>categorie</t>
  </si>
  <si>
    <t>indicateur</t>
  </si>
  <si>
    <t>valeur</t>
  </si>
  <si>
    <t>unite</t>
  </si>
  <si>
    <t>population_reference</t>
  </si>
  <si>
    <t>comparateur</t>
  </si>
  <si>
    <t>significatif</t>
  </si>
  <si>
    <t>source_page_ou_section</t>
  </si>
  <si>
    <t>commentaire</t>
  </si>
  <si>
    <t>Exposition</t>
  </si>
  <si>
    <t>Mémorisation spontanée</t>
  </si>
  <si>
    <t>%</t>
  </si>
  <si>
    <t>11-17 ans</t>
  </si>
  <si>
    <t>p.4</t>
  </si>
  <si>
    <t>Reconnaissance globale</t>
  </si>
  <si>
    <t>Perception</t>
  </si>
  <si>
    <t>Utile</t>
  </si>
  <si>
    <t>Ayant reconnu / selon questionnaire</t>
  </si>
  <si>
    <t>p.1</t>
  </si>
  <si>
    <t>Implication</t>
  </si>
  <si>
    <t>Se sent concerné</t>
  </si>
  <si>
    <t>Comportement</t>
  </si>
  <si>
    <t>A parlé de son mal-être</t>
  </si>
  <si>
    <t>Jeunes en mal-être ayant reconnu</t>
  </si>
  <si>
    <t>42% chez non reconnus</t>
  </si>
  <si>
    <t>oui</t>
  </si>
  <si>
    <t>Recours</t>
  </si>
  <si>
    <t>A utilisé Fil Santé Jeunes</t>
  </si>
  <si>
    <t>Ayant reconnu</t>
  </si>
  <si>
    <t>0,5% chez non reconnus</t>
  </si>
  <si>
    <t>Trafic</t>
  </si>
  <si>
    <t>Visites quotidiennes FSJ</t>
  </si>
  <si>
    <t>% variation</t>
  </si>
  <si>
    <t>Pendant vs avant</t>
  </si>
  <si>
    <t>Messages tchat reçus</t>
  </si>
  <si>
    <t>Messages tchat traités</t>
  </si>
  <si>
    <t>39% en 2021</t>
  </si>
  <si>
    <t>Reconnaissance affichage</t>
  </si>
  <si>
    <t>Reconnaissance digital</t>
  </si>
  <si>
    <t>Incitation</t>
  </si>
  <si>
    <t>Incite à parler à quelqu’un</t>
  </si>
  <si>
    <t>Heures quotidiennes de navigation FSJ</t>
  </si>
  <si>
    <t>Messages tchat difficultés psy</t>
  </si>
  <si>
    <t>A parlé à quelqu’un (triste/angoissé)</t>
  </si>
  <si>
    <t>Jeunes tristes/angoissés</t>
  </si>
  <si>
    <t>50% comparateur</t>
  </si>
  <si>
    <t>non</t>
  </si>
  <si>
    <t>résultats</t>
  </si>
  <si>
    <t>18+</t>
  </si>
  <si>
    <t>Personnellement concerné</t>
  </si>
  <si>
    <t>Transferts appels vers soutien psychologique</t>
  </si>
  <si>
    <t>Consultation pro anxiété/dépression</t>
  </si>
  <si>
    <t>A reconnu la campagne</t>
  </si>
  <si>
    <t>9,8% non reconnu</t>
  </si>
  <si>
    <t>Ligne/site pour information ou soutien psy</t>
  </si>
  <si>
    <t>7,7% non reconnu</t>
  </si>
  <si>
    <t>Mémorisation spontanée spécifique</t>
  </si>
  <si>
    <t>15+</t>
  </si>
  <si>
    <t>Reconnaissance TV</t>
  </si>
  <si>
    <t>Reconnaissance vidéos pédagogiques</t>
  </si>
  <si>
    <t>Claire/facile à comprendre</t>
  </si>
  <si>
    <t>p.1/p.5</t>
  </si>
  <si>
    <t>Informations nouvelles</t>
  </si>
  <si>
    <t>Convaincante</t>
  </si>
  <si>
    <t>Ton juste</t>
  </si>
  <si>
    <t>Confiance dans le Nutri-Score</t>
  </si>
  <si>
    <t>Se sent directement concerné</t>
  </si>
  <si>
    <t>83% en 2018</t>
  </si>
  <si>
    <t>p.5</t>
  </si>
  <si>
    <t>Tenir compte du Nutri-Score pour comparer</t>
  </si>
  <si>
    <t>86% en 2018</t>
  </si>
  <si>
    <t>Regarder le Nutri-Score lors des courses</t>
  </si>
  <si>
    <t>-6 points vs campagne 2018</t>
  </si>
  <si>
    <t>Métropole</t>
  </si>
  <si>
    <t>Convaincante pour arrêter alcool grossesse</t>
  </si>
  <si>
    <t>Exposés - Métropole</t>
  </si>
  <si>
    <t>p.6</t>
  </si>
  <si>
    <t>Claire et facile à comprendre</t>
  </si>
  <si>
    <t>A aimé la campagne</t>
  </si>
  <si>
    <t>p.7</t>
  </si>
  <si>
    <t>Conseiller aux femmes enceintes entourage de ne pas boire</t>
  </si>
  <si>
    <t>DROM</t>
  </si>
  <si>
    <t>Exposés - DROM</t>
  </si>
  <si>
    <t>Ne pas boire d’alcool en cas de grossesse</t>
  </si>
  <si>
    <t>Femmes en âge de procréer exposées - Métropole</t>
  </si>
  <si>
    <t>Réfléchir aux risques alcool-grossesse</t>
  </si>
  <si>
    <t>85% non exposées</t>
  </si>
  <si>
    <t>Activité</t>
  </si>
  <si>
    <t>Personnes testées</t>
  </si>
  <si>
    <t>n</t>
  </si>
  <si>
    <t>13 semaines</t>
  </si>
  <si>
    <t>résumé/p.19</t>
  </si>
  <si>
    <t>Variation du nombre de tests vs 2018</t>
  </si>
  <si>
    <t>Même période</t>
  </si>
  <si>
    <t>2018</t>
  </si>
  <si>
    <t>résumé</t>
  </si>
  <si>
    <t>Tests sans ordonnance</t>
  </si>
  <si>
    <t>Connaissait l’opération</t>
  </si>
  <si>
    <t>Répondants questionnaire n=5 556</t>
  </si>
  <si>
    <t>p.30</t>
  </si>
  <si>
    <t>Calcul = 100 - 38,7% sans connaissance</t>
  </si>
  <si>
    <t>Résultat sanitaire</t>
  </si>
  <si>
    <t>Séropositivité</t>
  </si>
  <si>
    <t>1,12% en 2018</t>
  </si>
  <si>
    <t>ARN VHC positif et pris en charge</t>
  </si>
  <si>
    <t>Buveurs 18-75 suivis longitudinalement</t>
  </si>
  <si>
    <t>727296_spf00005292.pdf</t>
  </si>
  <si>
    <t>Résultats/Tableau 1</t>
  </si>
  <si>
    <t>Effet causal/proxy</t>
  </si>
  <si>
    <t>Connaissance max 2 verres/jour ORa interaction T0-T1</t>
  </si>
  <si>
    <t>ORa</t>
  </si>
  <si>
    <t>Exposés vs non exposés</t>
  </si>
  <si>
    <t>IC95% 1,08-1,62</t>
  </si>
  <si>
    <t>Tableau 4</t>
  </si>
  <si>
    <t>p=0,008</t>
  </si>
  <si>
    <t>Connaissance risque hypertension ORa</t>
  </si>
  <si>
    <t>IC95% 1,09-1,81</t>
  </si>
  <si>
    <t>Connaissance risque hémorragie cérébrale ORa</t>
  </si>
  <si>
    <t>IC95% 1,44-2,25</t>
  </si>
  <si>
    <t>p=&lt;0,001</t>
  </si>
  <si>
    <t>Consommation à risque ORa T0-T1</t>
  </si>
  <si>
    <t>IC95% 0,69-0,99</t>
  </si>
  <si>
    <t>p=0,043</t>
  </si>
  <si>
    <t>Consommation à risque ORa chez femmes T0-T1</t>
  </si>
  <si>
    <t>Femmes exposées vs non exposées</t>
  </si>
  <si>
    <t>IC95% 0,50-0,88</t>
  </si>
  <si>
    <t>Résumé</t>
  </si>
  <si>
    <t>p=0,004</t>
  </si>
  <si>
    <t>Questionnaires alcoomètre complétés/jour</t>
  </si>
  <si>
    <t>n/jour</t>
  </si>
  <si>
    <t>Période campagne</t>
  </si>
  <si>
    <t>Tableau 1</t>
  </si>
  <si>
    <t>Visites alcoomètre/jour</t>
  </si>
  <si>
    <t>Conversion</t>
  </si>
  <si>
    <t>Taux de complétion</t>
  </si>
  <si>
    <t>Visites alcoomètre</t>
  </si>
  <si>
    <t>ALL_RAVAGES</t>
  </si>
  <si>
    <t>Complétions/jour campagne vs intercampagne</t>
  </si>
  <si>
    <t>Moyenne campagnes</t>
  </si>
  <si>
    <t>818/jour intercampagne</t>
  </si>
  <si>
    <t>p.11</t>
  </si>
  <si>
    <t>Rapport ~8,5x</t>
  </si>
  <si>
    <t>Tentative arrêt &gt;=24h au T4</t>
  </si>
  <si>
    <t>Fumeurs quotidiens au lancement</t>
  </si>
  <si>
    <t>Tableau 2</t>
  </si>
  <si>
    <t>Tentative arrêt attribuable à Mois sans tabac</t>
  </si>
  <si>
    <t>Nombre estimé de tentatives attribuables</t>
  </si>
  <si>
    <t>Inscriptions site</t>
  </si>
  <si>
    <t>Participants inscrits</t>
  </si>
  <si>
    <t>A entendu parler de Mois sans tabac</t>
  </si>
  <si>
    <t>Fumeurs quotidiens</t>
  </si>
  <si>
    <t>785846_spf00005677.pdf</t>
  </si>
  <si>
    <t>p.2</t>
  </si>
  <si>
    <t>Abstinent &gt;=30 jours parmi tentatives pendant MST</t>
  </si>
  <si>
    <t>Fumeurs ayant fait une tentative pendant MST 2016</t>
  </si>
  <si>
    <t>ALL_2016_2021</t>
  </si>
  <si>
    <t>Économie</t>
  </si>
  <si>
    <t>Coût annuel moyen</t>
  </si>
  <si>
    <t>EUR/an</t>
  </si>
  <si>
    <t>2016-2021</t>
  </si>
  <si>
    <t>ALL_2023_2050</t>
  </si>
  <si>
    <t>Dépenses de santé évitées moyennes</t>
  </si>
  <si>
    <t>Projection 2023-2050</t>
  </si>
  <si>
    <t>Retour sur investissement santé</t>
  </si>
  <si>
    <t>EUR économisés / EUR investi</t>
  </si>
  <si>
    <t>Projection</t>
  </si>
  <si>
    <t>TABAC_INFO_SERVICE</t>
  </si>
  <si>
    <t>TIS_3989_2012_2014</t>
  </si>
  <si>
    <t>Abstinence 7 jours à 6 mois</t>
  </si>
  <si>
    <t>Fumeurs accompagnés acceptant rappel, ITT n=10 193</t>
  </si>
  <si>
    <t>444846_spf00003262.pdf</t>
  </si>
  <si>
    <t>Dispositif permanent, pas une vague de campagne</t>
  </si>
  <si>
    <t>Déclare que TIS a aidé dans démarche d’arrêt</t>
  </si>
  <si>
    <t>Individus rappelés</t>
  </si>
  <si>
    <t>Dispositif permanent</t>
  </si>
  <si>
    <t>TIS_ECOACHING_2010_2011</t>
  </si>
  <si>
    <t>Abstinence à 3 mois ITT</t>
  </si>
  <si>
    <t>Intervention</t>
  </si>
  <si>
    <t>23,5% contrôle</t>
  </si>
  <si>
    <t>p.8</t>
  </si>
  <si>
    <t>TIS_APP_2017_2018</t>
  </si>
  <si>
    <t>Abstinence à 6 mois ITT</t>
  </si>
  <si>
    <t>13,7% contrôle</t>
  </si>
  <si>
    <t>20% campagne TV 2001</t>
  </si>
  <si>
    <t>Oui (supérieur à 2001)</t>
  </si>
  <si>
    <t>p.1 Mémorisation et reconnaissance</t>
  </si>
  <si>
    <t>Restitution spontanée d’éléments spécifiques.</t>
  </si>
  <si>
    <t>Reconnaissance au moins un film</t>
  </si>
  <si>
    <t>Réception</t>
  </si>
  <si>
    <t>Personnes ayant reconnu au moins un film</t>
  </si>
  <si>
    <t>p.1 Appréciation globale</t>
  </si>
  <si>
    <t>17% ne l’aiment pas.</t>
  </si>
  <si>
    <t>Réticence</t>
  </si>
  <si>
    <t>Appréciation positive chez fumeurs non dissonants</t>
  </si>
  <si>
    <t>Fumeurs ne préférant pas être non-fumeurs</t>
  </si>
  <si>
    <t>79% fumeurs dissonants</t>
  </si>
  <si>
    <t>Oui</t>
  </si>
  <si>
    <t>Indicateur potentiellement pertinent pour la réticence au message.</t>
  </si>
  <si>
    <t>Souvenir de la visite confraternelle</t>
  </si>
  <si>
    <t>Médecins interrogés un an après visite</t>
  </si>
  <si>
    <t>p.34-35</t>
  </si>
  <si>
    <t>186 médecins sur 198 répondants se souvenaient de la campagne.</t>
  </si>
  <si>
    <t>Campagne utile dans la pratique</t>
  </si>
  <si>
    <t>Médecins se souvenant de la campagne</t>
  </si>
  <si>
    <t>p.35</t>
  </si>
  <si>
    <t>Intention / pratique</t>
  </si>
  <si>
    <t>Aide à la réduction de prescription d’antibiotiques</t>
  </si>
  <si>
    <t>Perception déclarée, pas mesure causale.</t>
  </si>
  <si>
    <t>Aide à la négociation thérapeutique</t>
  </si>
  <si>
    <t>Variation enfants traités par antibiotiques sur 3 mois</t>
  </si>
  <si>
    <t>% environ</t>
  </si>
  <si>
    <t>Enfants suivis via questionnaires parents en crèches</t>
  </si>
  <si>
    <t>Avant / enquêtes précédentes</t>
  </si>
  <si>
    <t>Non établi</t>
  </si>
  <si>
    <t>p.36</t>
  </si>
  <si>
    <t>Baisse d’ordre de 10%; données CRAM ne montrent pas de diminution significative depuis 1999.</t>
  </si>
  <si>
    <t>Taux de participation au dépistage</t>
  </si>
  <si>
    <t>Population cible 50-74 ans, 46 départements</t>
  </si>
  <si>
    <t>Seuil européen recommandé 45%</t>
  </si>
  <si>
    <t>Résultats participation</t>
  </si>
  <si>
    <t>Près de 3 millions de personnes testées.</t>
  </si>
  <si>
    <t>Réalisation de coloscopie après test positif</t>
  </si>
  <si>
    <t>Personnes éligibles à la coloscopie après test positif</t>
  </si>
  <si>
    <t>Recommandation européenne 95%</t>
  </si>
  <si>
    <t>p.9 tests positifs / coloscopies</t>
  </si>
  <si>
    <t>Résultat clinique</t>
  </si>
  <si>
    <t>Tests de dépistage positifs</t>
  </si>
  <si>
    <t>Résultats</t>
  </si>
  <si>
    <t>82 786 tests positifs.</t>
  </si>
  <si>
    <t>Portée</t>
  </si>
  <si>
    <t>Population &lt;6 ans ayant bénéficié de la campagne</t>
  </si>
  <si>
    <t>47 805 enfants de moins de 6 ans à Mayotte</t>
  </si>
  <si>
    <t>Discussion p.47</t>
  </si>
  <si>
    <t>23 955 enfants se sont présentés dans les centres temporaires.</t>
  </si>
  <si>
    <t>Trafic / activité</t>
  </si>
  <si>
    <t>Enfants présentés aux centres temporaires</t>
  </si>
  <si>
    <t>Enfants présentés pendant la campagne</t>
  </si>
  <si>
    <t>Résumé / résultats</t>
  </si>
  <si>
    <t>Plus de la moitié nécessitaient un rattrapage vaccinal.</t>
  </si>
  <si>
    <t>Intensité</t>
  </si>
  <si>
    <t>Centres temporaires installés</t>
  </si>
  <si>
    <t>centres</t>
  </si>
  <si>
    <t>Résumé / méthode</t>
  </si>
  <si>
    <t>110 réservistes mobilisés et 90 000 doses acheminées.</t>
  </si>
  <si>
    <t>Reconnaissance globale assistée</t>
  </si>
  <si>
    <t>50-74 ans</t>
  </si>
  <si>
    <t>Key findings / Campaign awareness</t>
  </si>
  <si>
    <t>Rappel spontané spécifique A Gift for Living</t>
  </si>
  <si>
    <t>Key findings</t>
  </si>
  <si>
    <t>Facile à comprendre</t>
  </si>
  <si>
    <t>Ayant reconnu au moins un élément</t>
  </si>
  <si>
    <t>Reactions to campaign creative</t>
  </si>
  <si>
    <t>Crédible</t>
  </si>
  <si>
    <t>Intention</t>
  </si>
  <si>
    <t>Probable utilisation du kit au prochain envoi - exposés</t>
  </si>
  <si>
    <t>Ayant vu la campagne</t>
  </si>
  <si>
    <t>82% non exposés</t>
  </si>
  <si>
    <t>Executive summary</t>
  </si>
  <si>
    <t>FOBT domicile réalisé dans les 12 derniers mois - exposés</t>
  </si>
  <si>
    <t>19% non exposés</t>
  </si>
  <si>
    <t>Screening behaviour</t>
  </si>
  <si>
    <t>Participation déjà réalisée au NBCSP</t>
  </si>
  <si>
    <t>50-74 ans CATI</t>
  </si>
  <si>
    <t>28% en 2015</t>
  </si>
  <si>
    <t>Non significatif</t>
  </si>
  <si>
    <t>Campaign diagnostics</t>
  </si>
  <si>
    <t>6% en 2015</t>
  </si>
  <si>
    <t>Connaissance</t>
  </si>
  <si>
    <t>Connaissance du NBCSP</t>
  </si>
  <si>
    <t>91% en 2015</t>
  </si>
  <si>
    <t>Knowledge and awareness</t>
  </si>
  <si>
    <t>Participation déclarée parmi destinataires du kit</t>
  </si>
  <si>
    <t>Destinataires du kit - CATI</t>
  </si>
  <si>
    <t>60% en 2015</t>
  </si>
  <si>
    <t>Behavioural intentions</t>
  </si>
  <si>
    <t>Probable utilisation du kit au prochain envoi</t>
  </si>
  <si>
    <t>84% en 2015</t>
  </si>
  <si>
    <t>Probable utilisation au prochain envoi - exposés</t>
  </si>
  <si>
    <t>Ayant vu la campagne - CATI</t>
  </si>
  <si>
    <t>83% non exposés</t>
  </si>
  <si>
    <t>Non significatif / faible écart</t>
  </si>
  <si>
    <t>Table 3.4.7</t>
  </si>
  <si>
    <t>Participation déclarée - exposés</t>
  </si>
  <si>
    <t>Ayant vu la campagne - enquête online</t>
  </si>
  <si>
    <t>70% non exposés</t>
  </si>
  <si>
    <t>Online survey</t>
  </si>
  <si>
    <t>Résultat online; ne pas confondre avec le CATI principal.</t>
  </si>
  <si>
    <t>Reconnaissance de la campagne</t>
  </si>
  <si>
    <t>Fumeurs / ex-fumeurs récents</t>
  </si>
  <si>
    <t>Findings</t>
  </si>
  <si>
    <t>Notoriété / reconnaissance de marque Stoptober</t>
  </si>
  <si>
    <t>Quit attempts</t>
  </si>
  <si>
    <t>Toujours non-fumeur à 4 semaines</t>
  </si>
  <si>
    <t>Impact modélisé</t>
  </si>
  <si>
    <t>Tentatives d’arrêt incrémentales attribuées à la campagne</t>
  </si>
  <si>
    <t>385 000 en 2015</t>
  </si>
  <si>
    <t>Summary</t>
  </si>
  <si>
    <t>Efficience</t>
  </si>
  <si>
    <t>Retour sur investissement à 3 ans</t>
  </si>
  <si>
    <t>£ par £ investi</t>
  </si>
  <si>
    <t>Modélisation</t>
  </si>
  <si>
    <t>3.42 en 2015</t>
  </si>
  <si>
    <t>Engagement</t>
  </si>
  <si>
    <t>Taux de lecture des messages du Facebook Chatbot</t>
  </si>
  <si>
    <t>Utilisateurs Chatbot</t>
  </si>
  <si>
    <t>Overview</t>
  </si>
  <si>
    <t>Messages Chatbot jugés utiles</t>
  </si>
  <si>
    <t>Trafic / engagement</t>
  </si>
  <si>
    <t>Visites du site pendant la campagne</t>
  </si>
  <si>
    <t>&gt; n</t>
  </si>
  <si>
    <t>Site Stoptober</t>
  </si>
  <si>
    <t>+10% vs 2016</t>
  </si>
  <si>
    <t>Campaign engagement</t>
  </si>
  <si>
    <t>Téléchargements application</t>
  </si>
  <si>
    <t>Application Stoptober</t>
  </si>
  <si>
    <t>+47% vs 2016</t>
  </si>
  <si>
    <t>Visites du site</t>
  </si>
  <si>
    <t>+36% vs 2017</t>
  </si>
  <si>
    <t>+41% vs 2017</t>
  </si>
  <si>
    <t>Complétions Personal Quit Plan</t>
  </si>
  <si>
    <t>Utilisateurs PQP</t>
  </si>
  <si>
    <t>Tentative d’arrêt avec support</t>
  </si>
  <si>
    <t>Performance against targets</t>
  </si>
  <si>
    <t>51 786 en 2018</t>
  </si>
  <si>
    <t>91 135 en 2018</t>
  </si>
  <si>
    <t>Commentaires groupe Facebook pair-à-pair</t>
  </si>
  <si>
    <t>Groupe Facebook</t>
  </si>
  <si>
    <t>Tentative d’arrêt attribuée - panel YouGov</t>
  </si>
  <si>
    <t>Fumeurs - panel YouGov</t>
  </si>
  <si>
    <t>25% panel Kantar</t>
  </si>
  <si>
    <t>Rupture méthodologique; YouGov retenu comme base pour 2020.</t>
  </si>
  <si>
    <t>Toujours non-fumeur à 4 semaines - panel YouGov</t>
  </si>
  <si>
    <t>9% panel Kantar</t>
  </si>
  <si>
    <t>Rupture méthodologique.</t>
  </si>
  <si>
    <t>18 939 en 2019</t>
  </si>
  <si>
    <t>18 568 en 2019</t>
  </si>
  <si>
    <t>Réticence / obstacle</t>
  </si>
  <si>
    <t>Rechute parmi les personnes ayant tenté d’arrêter</t>
  </si>
  <si>
    <t>Personnes ayant fait une tentative</t>
  </si>
  <si>
    <t>53% en 2019</t>
  </si>
  <si>
    <t>Stress cité comme principal moteur de rechute (35%).</t>
  </si>
  <si>
    <t>Stress cité comme moteur principal de rechute</t>
  </si>
  <si>
    <t>Personnes ayant rechuté</t>
  </si>
  <si>
    <t>Exposition déclarée TV</t>
  </si>
  <si>
    <t>Post-enquête adultes</t>
  </si>
  <si>
    <t>Results</t>
  </si>
  <si>
    <t>Exposition déclarée radio</t>
  </si>
  <si>
    <t>Exposition déclarée billboard</t>
  </si>
  <si>
    <t>Attitude</t>
  </si>
  <si>
    <t>Soutien aux bars sans fumée</t>
  </si>
  <si>
    <t>38.1% pré-campagne</t>
  </si>
  <si>
    <t>Oui, p=.01</t>
  </si>
  <si>
    <t>Changes in support and knowledge</t>
  </si>
  <si>
    <t>Croyance que le tabagisme passif cause des maladies cardiaques</t>
  </si>
  <si>
    <t>71.2% pré-campagne</t>
  </si>
  <si>
    <t>Oui, p&lt;.001</t>
  </si>
  <si>
    <t>Impressions Facebook</t>
  </si>
  <si>
    <t>impressions</t>
  </si>
  <si>
    <t>Campagne digitale</t>
  </si>
  <si>
    <t>Media campaign</t>
  </si>
  <si>
    <t>Clics Facebook</t>
  </si>
  <si>
    <t>clics</t>
  </si>
  <si>
    <t>Impressions AL.com</t>
  </si>
  <si>
    <t>Clics AL.com</t>
  </si>
  <si>
    <t>Mange des fruits/légumes la plupart ou tous les jours</t>
  </si>
  <si>
    <t>Clients des Development Stores à 7 mois</t>
  </si>
  <si>
    <t>57% au départ</t>
  </si>
  <si>
    <t>Oui / indiqué significatif</t>
  </si>
  <si>
    <t>Summary findings</t>
  </si>
  <si>
    <t>Déclare manger 5 portions par jour</t>
  </si>
  <si>
    <t>23% au départ</t>
  </si>
  <si>
    <t>Achète davantage de fruits/légumes dans le magasin du fait de Change4Life</t>
  </si>
  <si>
    <t>à 20 %</t>
  </si>
  <si>
    <t>Clients interrogés</t>
  </si>
  <si>
    <t>Being part of wider Change4Life movement</t>
  </si>
  <si>
    <t>Ventes</t>
  </si>
  <si>
    <t>Hausse moyenne des ventes de fruits/légumes - Development Stores</t>
  </si>
  <si>
    <t>Magasins pilotes</t>
  </si>
  <si>
    <t>Sales data</t>
  </si>
  <si>
    <t>Variabilité très forte entre magasins; résultat de programme de point de vente.</t>
  </si>
  <si>
    <t>Vues pages NHS Choices EAAD</t>
  </si>
  <si>
    <t>NHS Choices, 4 nov-31 déc 2012</t>
  </si>
  <si>
    <t>+13% vs 2011</t>
  </si>
  <si>
    <t>Web stats</t>
  </si>
  <si>
    <t>Hausse des vues NHS Choices vs année précédente</t>
  </si>
  <si>
    <t>NHS Choices</t>
  </si>
  <si>
    <t>2011</t>
  </si>
  <si>
    <t>Vues uniques site TARGET</t>
  </si>
  <si>
    <t>vues uniques</t>
  </si>
  <si>
    <t>1 nov 2012-7 avr 2013</t>
  </si>
  <si>
    <t>TARGET antibiotic toolkit</t>
  </si>
  <si>
    <t>Organisations répondantes ayant promu EAAD localement</t>
  </si>
  <si>
    <t>&gt; %</t>
  </si>
  <si>
    <t>Petite enquête organisations</t>
  </si>
  <si>
    <t>Leaflets diffusés</t>
  </si>
  <si>
    <t>Sept-déc 2012</t>
  </si>
  <si>
    <t>Leaflet and Posters</t>
  </si>
  <si>
    <t>Posters diffusés</t>
  </si>
  <si>
    <t>TIPS_FROM_FORMER_SMOKERS</t>
  </si>
  <si>
    <t>TIPS_2012_2023</t>
  </si>
  <si>
    <t>Appels 1-800-QUIT-NOW attribuables aux annonces TV Tips, cumul 2012-2023</t>
  </si>
  <si>
    <t>appels</t>
  </si>
  <si>
    <t>États-Unis, semaines TV on-air</t>
  </si>
  <si>
    <t>Modèle contrefactuel sans Tips</t>
  </si>
  <si>
    <t>ntae164(1).pdf</t>
  </si>
  <si>
    <t>Table 2 / multiyear model</t>
  </si>
  <si>
    <t>Trafic / impact</t>
  </si>
  <si>
    <t>Hausse des appels pendant les semaines on-air attribuable à Tips</t>
  </si>
  <si>
    <t>Semaines avec TV Tips</t>
  </si>
  <si>
    <t>Sans Tips, modèle contrefactuel</t>
  </si>
  <si>
    <t>Results / Table 2</t>
  </si>
  <si>
    <t>Hausse des appels sur l’ensemble de la période 2012-2023</t>
  </si>
  <si>
    <t>626 semaines</t>
  </si>
  <si>
    <t>TIPS_2020</t>
  </si>
  <si>
    <t>Hausse des appels attribuable à Tips pendant les semaines on-air</t>
  </si>
  <si>
    <t>États-Unis, 2020</t>
  </si>
  <si>
    <t>Sans Tips, modèle annuel</t>
  </si>
  <si>
    <t>Annual sensitivity analysis</t>
  </si>
  <si>
    <t>Plus faible effet annuel de 2012-2023; autres années &gt;=50%.</t>
  </si>
  <si>
    <t>Intensité / dose-réponse</t>
  </si>
  <si>
    <t>Coefficient GRP TV -&gt; appels hebdomadaires</t>
  </si>
  <si>
    <t>coefficient par 100 GRP</t>
  </si>
  <si>
    <t>210 marchés Nielsen, 2012-2023</t>
  </si>
  <si>
    <t>p&lt;.001</t>
  </si>
  <si>
    <t>Table 1</t>
  </si>
  <si>
    <t>variable</t>
  </si>
  <si>
    <t>définition</t>
  </si>
  <si>
    <t>type / convention</t>
  </si>
  <si>
    <t>Identifiant stable d’une même campagne à travers le temps</t>
  </si>
  <si>
    <t>texte</t>
  </si>
  <si>
    <t>Identifiant de la vague/édition; unité d’observation de la table principale</t>
  </si>
  <si>
    <t>Nom public de la campagne</t>
  </si>
  <si>
    <t>Année de diffusion</t>
  </si>
  <si>
    <t>entier</t>
  </si>
  <si>
    <t>Début de la vague lorsqu’il est documenté</t>
  </si>
  <si>
    <t>date</t>
  </si>
  <si>
    <t>Fin de la vague lorsqu’il est documenté</t>
  </si>
  <si>
    <t>Durée inclusive lorsque les dates sont documentées</t>
  </si>
  <si>
    <t>jours</t>
  </si>
  <si>
    <t>Porteur principal</t>
  </si>
  <si>
    <t>Périmètre géographique</t>
  </si>
  <si>
    <t>Thématique de santé harmonisée</t>
  </si>
  <si>
    <t>catégorie</t>
  </si>
  <si>
    <t>Sous-thématique harmonisée</t>
  </si>
  <si>
    <t>Objectif dominant de communication</t>
  </si>
  <si>
    <t>catégorie/texte court</t>
  </si>
  <si>
    <t>Comportement ou recours recherché</t>
  </si>
  <si>
    <t>Population cible décrite</t>
  </si>
  <si>
    <t>Âge minimum ciblé si explicite</t>
  </si>
  <si>
    <t>Âge maximum ciblé si explicite</t>
  </si>
  <si>
    <t>Liste harmonisée des grands canaux</t>
  </si>
  <si>
    <t>texte séparé par ;</t>
  </si>
  <si>
    <t>Nombre de grandes familles de canaux recensées</t>
  </si>
  <si>
    <t>1 si plusieurs familles de canaux</t>
  </si>
  <si>
    <t>0/1</t>
  </si>
  <si>
    <t>1 si dispositif uniquement digital</t>
  </si>
  <si>
    <t>GRP TV + vidéo online lorsque disponible</t>
  </si>
  <si>
    <t>nombre</t>
  </si>
  <si>
    <t>GRP radio lorsque disponible</t>
  </si>
  <si>
    <t>Information d’intensité non standardisable sans créer une colonne rare</t>
  </si>
  <si>
    <t>Part se souvenant spontanément d’une campagne sur le sujet</t>
  </si>
  <si>
    <t>proportion 0-1</t>
  </si>
  <si>
    <t>Part reconnaissant au moins un support après présentation</t>
  </si>
  <si>
    <t>Part jugeant la campagne utile</t>
  </si>
  <si>
    <t>Part se sentant concernée</t>
  </si>
  <si>
    <t>Indicateur d’incitation principal lorsque clairement comparable</t>
  </si>
  <si>
    <t>Indicateur comportemental principal retenu dans la base dense</t>
  </si>
  <si>
    <t>Valeur du groupe/campagne principal</t>
  </si>
  <si>
    <t>proportion 0-1 ou ratio selon note</t>
  </si>
  <si>
    <t>Valeur du comparateur lorsque disponible</t>
  </si>
  <si>
    <t>proportion 0-1 ou ratio</t>
  </si>
  <si>
    <t>Écart impact - comparateur, calculé en points de pourcentage</t>
  </si>
  <si>
    <t>formule</t>
  </si>
  <si>
    <t>Indicateur de recours/activité principal</t>
  </si>
  <si>
    <t>Valeur brute du trafic si disponible</t>
  </si>
  <si>
    <t>Unité de trafic</t>
  </si>
  <si>
    <t>Variation pendant campagne vs référence</t>
  </si>
  <si>
    <t>proportion, ex 0,67 = +67%</t>
  </si>
  <si>
    <t>Conversion visite -&gt; action/complétion</t>
  </si>
  <si>
    <t>Taille de l’échantillon principal associé aux indicateurs de perception/exposition</t>
  </si>
  <si>
    <t>Type d’évaluation</t>
  </si>
  <si>
    <t>Document source</t>
  </si>
  <si>
    <t>Précisions de dénominateur, limites ou métriques secondaires</t>
  </si>
  <si>
    <t>Règle générale</t>
  </si>
  <si>
    <t>Les cellules vides signifient que l’indicateur n’est pas disponible ou pas suffisamment comparable. Les métriques rares sont conservées dans Outcomes_long plutôt que d’ajouter des colonnes.</t>
  </si>
  <si>
    <t>Attention comparaison</t>
  </si>
  <si>
    <t>Les pourcentages de perception portent souvent uniquement sur les personnes ayant reconnu la campagne. Toujours vérifier population_reference dans Outcomes_long.</t>
  </si>
  <si>
    <t>titre / objet</t>
  </si>
  <si>
    <t>thème</t>
  </si>
  <si>
    <t>statut intégration</t>
  </si>
  <si>
    <t>note</t>
  </si>
  <si>
    <t>source_url</t>
  </si>
  <si>
    <t>spf00006540.pdf</t>
  </si>
  <si>
    <t>Présentation #JenParleA 2022</t>
  </si>
  <si>
    <t>Complément / doublon</t>
  </si>
  <si>
    <t>Contenu utilisé comme contrôle croisé; base priorise les rapports Le point sur.</t>
  </si>
  <si>
    <t>https://www.santepubliquefrance.fr/</t>
  </si>
  <si>
    <t>Évaluation J'en parle à 2021</t>
  </si>
  <si>
    <t>Intégré</t>
  </si>
  <si>
    <t>1 vague</t>
  </si>
  <si>
    <t>Évaluation #JenParleA 2022</t>
  </si>
  <si>
    <t>Évaluation En parler c'est déjà se soigner</t>
  </si>
  <si>
    <t>Évaluation Nutri-Score 2025</t>
  </si>
  <si>
    <t>Six années de recours à l’alcoomètre</t>
  </si>
  <si>
    <t>5 vagues Ravages + 1 vague AIS; données trafic</t>
  </si>
  <si>
    <t>Efficacité campagne Ravages 2019</t>
  </si>
  <si>
    <t>Complète Ravages 2019 avec reconnaissance et effets sur connaissances/comportement</t>
  </si>
  <si>
    <t>Zéro alcool pendant la grossesse 2018</t>
  </si>
  <si>
    <t>Alcool / grossesse</t>
  </si>
  <si>
    <t>1 vague; métriques territoriales en table longue</t>
  </si>
  <si>
    <t>Montpellier sans hépatite C 2019</t>
  </si>
  <si>
    <t>Hépatite C</t>
  </si>
  <si>
    <t>1 vague; attention: reconnaissance mesurée parmi personnes dépistées</t>
  </si>
  <si>
    <t>Mois sans tabac 2016-2019</t>
  </si>
  <si>
    <t>4 vagues annuelles</t>
  </si>
  <si>
    <t>Évaluation sanitaire et économique Mois sans tabac</t>
  </si>
  <si>
    <t>Intégré en outcomes</t>
  </si>
  <si>
    <t>Éléments économiques agrégés, non ventilables par vague</t>
  </si>
  <si>
    <t>Tabac info service: conception et évaluation</t>
  </si>
  <si>
    <t>Outcomes seulement</t>
  </si>
  <si>
    <t>Dispositif permanent: pas ajouté comme campagne dans Base_campagnes</t>
  </si>
  <si>
    <t>Impact et agrément de la campagne « Révélation »</t>
  </si>
  <si>
    <t>Campagne TV 2002 avec post-test, utile pour exposition et réticence/réception.</t>
  </si>
  <si>
    <t>Rapport d’évaluation 2002 de la campagne « Antibios quand il faut »</t>
  </si>
  <si>
    <t>Antibiorésistance</t>
  </si>
  <si>
    <t>Intervention complexe; résultats de pratique à interpréter prudemment car causalité non démontrée.</t>
  </si>
  <si>
    <t>Évaluation épidémiologique du dépistage organisé du cancer colorectal 2008-2009</t>
  </si>
  <si>
    <t>Cancer / dépistage</t>
  </si>
  <si>
    <t>Programme organisé plutôt que campagne média; conservé car mesure directement la participation au comportement promu.</t>
  </si>
  <si>
    <t>Évaluation de la campagne de rattrapage vaccinal à Mayotte, 2018</t>
  </si>
  <si>
    <t>Campagne opérationnelle + communication multicanal; métriques de portée et recours.</t>
  </si>
  <si>
    <t>236373_spf00001278.pdf</t>
  </si>
  <si>
    <t>Évaluation coût-efficacité de la vaccination HPV dans le cadre du dépistage du cancer du col</t>
  </si>
  <si>
    <t>Vaccination HPV / cancer</t>
  </si>
  <si>
    <t>Non intégré comme campagne</t>
  </si>
  <si>
    <t>Étude de modélisation de scénarios de couverture vaccinale; la campagne de communication est une hypothèse de coût, pas une campagne réellement évaluée.</t>
  </si>
  <si>
    <t>Évaluation 2015 de la campagne australienne NBCSP « A Gift for Living »</t>
  </si>
  <si>
    <t>Post-test campagne très pertinent: reconnaissance, perception, intention et comportement.</t>
  </si>
  <si>
    <t>Évaluation 2016 de la campagne australienne NBCSP « A Gift for Living »</t>
  </si>
  <si>
    <t>Deuxième vague comparable à 2015; CATI principal + online complémentaire.</t>
  </si>
  <si>
    <t>national-tobacco-strategy-2023-2030(1).pdf</t>
  </si>
  <si>
    <t>National Tobacco Strategy 2023–2030 (Australie)</t>
  </si>
  <si>
    <t>Document stratégique/cadre, pas une évaluation d’une campagne identifiable.</t>
  </si>
  <si>
    <t>Long-term impact of Tips From Former Smokers on 1-800-QUIT-NOW, 2012–2023</t>
  </si>
  <si>
    <t>Tabac / sevrage</t>
  </si>
  <si>
    <t>Intégré – Outcomes_long uniquement</t>
  </si>
  <si>
    <t>Très forte étude dose-réponse GRP/appels, mais le papier agrège surtout 2012-2023 et ne fournit pas assez de valeurs annuelles pour créer proprement une ligne par année.</t>
  </si>
  <si>
    <t>Antismoking Mass Media Campaigns and Support for Smoke-Free Environments, Mobile County, 2011–2012</t>
  </si>
  <si>
    <t>Tabac / tabagisme passif</t>
  </si>
  <si>
    <t>Campagne locale multicanal; pré/post; chevauchement avec Tips à signaler.</t>
  </si>
  <si>
    <t>social-media-campaign-evaluation-job-aid_508(1).pdf</t>
  </si>
  <si>
    <t>CDC Social Media Campaign Evaluation job aid</t>
  </si>
  <si>
    <t>Méthodologie</t>
  </si>
  <si>
    <t>Guide méthodologique sur reach, impressions, engagement, clics et suivi web; utile comme référentiel, pas comme observation.</t>
  </si>
  <si>
    <t>Change4Life Convenience Stores Evaluation Report</t>
  </si>
  <si>
    <t>Intervention de marketing social en point de vente; utile pour comportements et ventes, moins comparable à une campagne média pure.</t>
  </si>
  <si>
    <t>Scottish_Rate_of_Income_Tax_Campaign_Evaluation(1).pdf</t>
  </si>
  <si>
    <t>Scottish Rate of Income Tax Campaign Evaluation 2016</t>
  </si>
  <si>
    <t>Fiscalité / communication publique</t>
  </si>
  <si>
    <t>Non intégré – hors champ santé</t>
  </si>
  <si>
    <t>Bonne évaluation de communication mais hors santé publique; conservée dans le registre des sources seulement.</t>
  </si>
  <si>
    <t>Stoptober 2016 Campaign evaluation</t>
  </si>
  <si>
    <t>Année particulièrement informative sur le choc de baisse du budget et le passage digital-only.</t>
  </si>
  <si>
    <t>Stoptober 2017 Campaign evaluation</t>
  </si>
  <si>
    <t>Retour TV/radio et remontée de la reconnaissance; trafic digital et tentatives d’arrêt.</t>
  </si>
  <si>
    <t>Stoptober 2018 Campaign evaluation</t>
  </si>
  <si>
    <t>Campagne multicanal avec reconnaissance, comportement, soutien et trafic digital.</t>
  </si>
  <si>
    <t>Stoptober 2019 Campaign evaluation</t>
  </si>
  <si>
    <t>Rupture de panel Kantar/YouGov documentée; deux séries conservées dans Outcomes_long.</t>
  </si>
  <si>
    <t>Stoptober 2020 Campaign evaluation</t>
  </si>
  <si>
    <t>Contexte Covid et passage sous Better Health: rupture de marque/mesure explicitement notée.</t>
  </si>
  <si>
    <t>European Antibiotic Awareness Day 2012 Evaluation</t>
  </si>
  <si>
    <t>Principalement processus, portée et trafic web; peu de mesure directe du changement de prescription.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</si>
</sst>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666666"/>
      <name val="Calibri"/>
    </font>
    <font>
      <sz val="11"/>
      <color rgb="FF008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14" fontId="3" fillId="0" borderId="0" xfId="0" applyNumberFormat="1" applyFont="1" applyAlignment="1">
      <alignment vertical="top" wrapText="1"/>
    </xf>
    <xf numFmtId="0" fontId="3" fillId="0" borderId="0" xfId="0" applyFont="1" applyAlignment="1">
      <alignment vertical="top" wrapText="1"/>
    </xf>
    <xf numFmtId="164" fontId="3" fillId="0" borderId="0" xfId="0" applyNumberFormat="1" applyFont="1" applyAlignment="1">
      <alignment vertical="top" wrapText="1"/>
    </xf>
    <xf numFmtId="165" fontId="4" fillId="0" borderId="0" xfId="0" applyNumberFormat="1" applyFont="1" applyAlignment="1">
      <alignment vertical="top" wrapText="1"/>
    </xf>
    <xf numFmtId="164" fontId="3" fillId="3" borderId="0" xfId="0" applyNumberFormat="1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166" fontId="3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1"/>
  <sheetViews>
    <sheetView showGridLines="0"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2" width="23" customWidth="1"/>
    <col min="3" max="3" width="28" customWidth="1"/>
    <col min="4" max="7" width="14" customWidth="1"/>
    <col min="8" max="10" width="20" customWidth="1"/>
    <col min="11" max="14" width="28" customWidth="1"/>
    <col min="15" max="16" width="14" customWidth="1"/>
    <col min="17" max="17" width="28" customWidth="1"/>
    <col min="18" max="22" width="14" customWidth="1"/>
    <col min="23" max="23" width="28" customWidth="1"/>
    <col min="24" max="28" width="14" customWidth="1"/>
    <col min="29" max="29" width="28" customWidth="1"/>
    <col min="30" max="32" width="14" customWidth="1"/>
    <col min="33" max="33" width="28" customWidth="1"/>
    <col min="34" max="38" width="14" customWidth="1"/>
    <col min="39" max="41" width="28" customWidth="1"/>
  </cols>
  <sheetData>
    <row r="1" spans="1:41" ht="33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ht="60" x14ac:dyDescent="0.25">
      <c r="A2" s="2" t="s">
        <v>41</v>
      </c>
      <c r="B2" s="2" t="s">
        <v>42</v>
      </c>
      <c r="C2" s="2" t="s">
        <v>43</v>
      </c>
      <c r="D2" s="2">
        <v>2021</v>
      </c>
      <c r="E2" s="3">
        <v>44361</v>
      </c>
      <c r="F2" s="3">
        <v>44391</v>
      </c>
      <c r="G2" s="4">
        <v>31</v>
      </c>
      <c r="H2" s="2" t="s">
        <v>44</v>
      </c>
      <c r="I2" s="4" t="s">
        <v>45</v>
      </c>
      <c r="J2" s="2" t="s">
        <v>46</v>
      </c>
      <c r="K2" s="2" t="s">
        <v>47</v>
      </c>
      <c r="L2" s="4" t="s">
        <v>48</v>
      </c>
      <c r="M2" s="4" t="s">
        <v>49</v>
      </c>
      <c r="N2" s="4" t="s">
        <v>50</v>
      </c>
      <c r="O2" s="4">
        <v>11</v>
      </c>
      <c r="P2" s="4">
        <v>17</v>
      </c>
      <c r="Q2" s="4" t="s">
        <v>51</v>
      </c>
      <c r="R2" s="4">
        <v>4</v>
      </c>
      <c r="S2" s="4">
        <v>1</v>
      </c>
      <c r="T2" s="4">
        <v>1</v>
      </c>
      <c r="U2" s="4"/>
      <c r="V2" s="4"/>
      <c r="W2" s="4" t="s">
        <v>52</v>
      </c>
      <c r="X2" s="5">
        <v>0.35</v>
      </c>
      <c r="Y2" s="5">
        <v>0.39</v>
      </c>
      <c r="Z2" s="5">
        <v>0.94</v>
      </c>
      <c r="AA2" s="5">
        <v>0.41</v>
      </c>
      <c r="AB2" s="5"/>
      <c r="AC2" s="4" t="s">
        <v>53</v>
      </c>
      <c r="AD2" s="5">
        <v>0.54</v>
      </c>
      <c r="AE2" s="5">
        <v>0.42</v>
      </c>
      <c r="AF2" s="6">
        <f t="shared" ref="AF2:AF31" si="0">IF(OR(AD2="",AE2=""),"",(AD2-AE2)*100)</f>
        <v>12.000000000000005</v>
      </c>
      <c r="AG2" s="4" t="s">
        <v>54</v>
      </c>
      <c r="AH2" s="4"/>
      <c r="AI2" s="4"/>
      <c r="AJ2" s="5">
        <v>0.67</v>
      </c>
      <c r="AK2" s="5"/>
      <c r="AL2" s="4">
        <v>800</v>
      </c>
      <c r="AM2" s="4" t="s">
        <v>55</v>
      </c>
      <c r="AN2" s="4" t="s">
        <v>56</v>
      </c>
      <c r="AO2" s="4" t="s">
        <v>57</v>
      </c>
    </row>
    <row r="3" spans="1:41" ht="90" x14ac:dyDescent="0.25">
      <c r="A3" s="2" t="s">
        <v>41</v>
      </c>
      <c r="B3" s="2" t="s">
        <v>58</v>
      </c>
      <c r="C3" s="2" t="s">
        <v>59</v>
      </c>
      <c r="D3" s="2">
        <v>2022</v>
      </c>
      <c r="E3" s="3">
        <v>44571</v>
      </c>
      <c r="F3" s="3">
        <v>44725</v>
      </c>
      <c r="G3" s="4">
        <v>155</v>
      </c>
      <c r="H3" s="2" t="s">
        <v>44</v>
      </c>
      <c r="I3" s="4" t="s">
        <v>45</v>
      </c>
      <c r="J3" s="2" t="s">
        <v>46</v>
      </c>
      <c r="K3" s="2" t="s">
        <v>47</v>
      </c>
      <c r="L3" s="4" t="s">
        <v>48</v>
      </c>
      <c r="M3" s="4" t="s">
        <v>49</v>
      </c>
      <c r="N3" s="4" t="s">
        <v>50</v>
      </c>
      <c r="O3" s="4">
        <v>11</v>
      </c>
      <c r="P3" s="4">
        <v>17</v>
      </c>
      <c r="Q3" s="4" t="s">
        <v>60</v>
      </c>
      <c r="R3" s="4">
        <v>3</v>
      </c>
      <c r="S3" s="4">
        <v>1</v>
      </c>
      <c r="T3" s="4">
        <v>0</v>
      </c>
      <c r="U3" s="4"/>
      <c r="V3" s="4"/>
      <c r="W3" s="4" t="s">
        <v>61</v>
      </c>
      <c r="X3" s="5">
        <v>0.33</v>
      </c>
      <c r="Y3" s="5">
        <v>0.53</v>
      </c>
      <c r="Z3" s="5">
        <v>0.93</v>
      </c>
      <c r="AA3" s="5">
        <v>0.41</v>
      </c>
      <c r="AB3" s="5">
        <v>0.95</v>
      </c>
      <c r="AC3" s="4" t="s">
        <v>62</v>
      </c>
      <c r="AD3" s="5">
        <v>0.55000000000000004</v>
      </c>
      <c r="AE3" s="5">
        <v>0.5</v>
      </c>
      <c r="AF3" s="6">
        <f t="shared" si="0"/>
        <v>5.0000000000000044</v>
      </c>
      <c r="AG3" s="4" t="s">
        <v>54</v>
      </c>
      <c r="AH3" s="4"/>
      <c r="AI3" s="4"/>
      <c r="AJ3" s="5">
        <v>0.54</v>
      </c>
      <c r="AK3" s="5"/>
      <c r="AL3" s="4">
        <v>800</v>
      </c>
      <c r="AM3" s="4" t="s">
        <v>63</v>
      </c>
      <c r="AN3" s="4" t="s">
        <v>64</v>
      </c>
      <c r="AO3" s="4" t="s">
        <v>65</v>
      </c>
    </row>
    <row r="4" spans="1:41" ht="60" x14ac:dyDescent="0.25">
      <c r="A4" s="2" t="s">
        <v>66</v>
      </c>
      <c r="B4" s="2" t="s">
        <v>67</v>
      </c>
      <c r="C4" s="2" t="s">
        <v>68</v>
      </c>
      <c r="D4" s="2">
        <v>2021</v>
      </c>
      <c r="E4" s="3">
        <v>44292</v>
      </c>
      <c r="F4" s="3">
        <v>44329</v>
      </c>
      <c r="G4" s="4">
        <v>38</v>
      </c>
      <c r="H4" s="2" t="s">
        <v>44</v>
      </c>
      <c r="I4" s="4" t="s">
        <v>45</v>
      </c>
      <c r="J4" s="2" t="s">
        <v>46</v>
      </c>
      <c r="K4" s="2" t="s">
        <v>69</v>
      </c>
      <c r="L4" s="4" t="s">
        <v>70</v>
      </c>
      <c r="M4" s="4" t="s">
        <v>71</v>
      </c>
      <c r="N4" s="4" t="s">
        <v>72</v>
      </c>
      <c r="O4" s="4">
        <v>18</v>
      </c>
      <c r="P4" s="4"/>
      <c r="Q4" s="4" t="s">
        <v>73</v>
      </c>
      <c r="R4" s="4">
        <v>3</v>
      </c>
      <c r="S4" s="4">
        <v>1</v>
      </c>
      <c r="T4" s="4">
        <v>0</v>
      </c>
      <c r="U4" s="4"/>
      <c r="V4" s="4"/>
      <c r="W4" s="4" t="s">
        <v>74</v>
      </c>
      <c r="X4" s="5">
        <v>0.47</v>
      </c>
      <c r="Y4" s="5">
        <v>0.69</v>
      </c>
      <c r="Z4" s="5">
        <v>0.88</v>
      </c>
      <c r="AA4" s="5">
        <v>0.45</v>
      </c>
      <c r="AB4" s="5"/>
      <c r="AC4" s="4" t="s">
        <v>75</v>
      </c>
      <c r="AD4" s="5">
        <v>0.11799999999999999</v>
      </c>
      <c r="AE4" s="5">
        <v>9.8000000000000004E-2</v>
      </c>
      <c r="AF4" s="6">
        <f t="shared" si="0"/>
        <v>1.9999999999999991</v>
      </c>
      <c r="AG4" s="4" t="s">
        <v>76</v>
      </c>
      <c r="AH4" s="4"/>
      <c r="AI4" s="4"/>
      <c r="AJ4" s="5">
        <v>1.44</v>
      </c>
      <c r="AK4" s="5"/>
      <c r="AL4" s="4">
        <v>2000</v>
      </c>
      <c r="AM4" s="4" t="s">
        <v>77</v>
      </c>
      <c r="AN4" s="4" t="s">
        <v>78</v>
      </c>
      <c r="AO4" s="4" t="s">
        <v>79</v>
      </c>
    </row>
    <row r="5" spans="1:41" ht="105" x14ac:dyDescent="0.25">
      <c r="A5" s="2" t="s">
        <v>80</v>
      </c>
      <c r="B5" s="2" t="s">
        <v>81</v>
      </c>
      <c r="C5" s="2" t="s">
        <v>82</v>
      </c>
      <c r="D5" s="2">
        <v>2025</v>
      </c>
      <c r="E5" s="3">
        <v>45837</v>
      </c>
      <c r="F5" s="3">
        <v>45865</v>
      </c>
      <c r="G5" s="4">
        <v>29</v>
      </c>
      <c r="H5" s="2" t="s">
        <v>44</v>
      </c>
      <c r="I5" s="4" t="s">
        <v>83</v>
      </c>
      <c r="J5" s="2" t="s">
        <v>84</v>
      </c>
      <c r="K5" s="2" t="s">
        <v>85</v>
      </c>
      <c r="L5" s="4" t="s">
        <v>86</v>
      </c>
      <c r="M5" s="4" t="s">
        <v>87</v>
      </c>
      <c r="N5" s="4" t="s">
        <v>88</v>
      </c>
      <c r="O5" s="4">
        <v>15</v>
      </c>
      <c r="P5" s="4"/>
      <c r="Q5" s="4" t="s">
        <v>89</v>
      </c>
      <c r="R5" s="4">
        <v>6</v>
      </c>
      <c r="S5" s="4">
        <v>1</v>
      </c>
      <c r="T5" s="4">
        <v>0</v>
      </c>
      <c r="U5" s="4"/>
      <c r="V5" s="4"/>
      <c r="W5" s="4" t="s">
        <v>90</v>
      </c>
      <c r="X5" s="5">
        <v>0.06</v>
      </c>
      <c r="Y5" s="5">
        <v>0.65</v>
      </c>
      <c r="Z5" s="5">
        <v>0.9</v>
      </c>
      <c r="AA5" s="5">
        <v>0.78</v>
      </c>
      <c r="AB5" s="5">
        <v>0.81</v>
      </c>
      <c r="AC5" s="4" t="s">
        <v>91</v>
      </c>
      <c r="AD5" s="5">
        <v>0.79</v>
      </c>
      <c r="AE5" s="5">
        <v>0.86</v>
      </c>
      <c r="AF5" s="6">
        <f t="shared" si="0"/>
        <v>-6.9999999999999947</v>
      </c>
      <c r="AG5" s="4"/>
      <c r="AH5" s="4"/>
      <c r="AI5" s="4"/>
      <c r="AJ5" s="5"/>
      <c r="AK5" s="5"/>
      <c r="AL5" s="4">
        <v>1003</v>
      </c>
      <c r="AM5" s="4" t="s">
        <v>92</v>
      </c>
      <c r="AN5" s="4" t="s">
        <v>93</v>
      </c>
      <c r="AO5" s="4" t="s">
        <v>94</v>
      </c>
    </row>
    <row r="6" spans="1:41" ht="60" x14ac:dyDescent="0.25">
      <c r="A6" s="2" t="s">
        <v>95</v>
      </c>
      <c r="B6" s="2" t="s">
        <v>96</v>
      </c>
      <c r="C6" s="2" t="s">
        <v>97</v>
      </c>
      <c r="D6" s="2">
        <v>2019</v>
      </c>
      <c r="E6" s="3">
        <v>43550</v>
      </c>
      <c r="F6" s="3">
        <v>43569</v>
      </c>
      <c r="G6" s="4">
        <v>20</v>
      </c>
      <c r="H6" s="2" t="s">
        <v>44</v>
      </c>
      <c r="I6" s="4" t="s">
        <v>83</v>
      </c>
      <c r="J6" s="2" t="s">
        <v>98</v>
      </c>
      <c r="K6" s="2" t="s">
        <v>99</v>
      </c>
      <c r="L6" s="4" t="s">
        <v>100</v>
      </c>
      <c r="M6" s="4" t="s">
        <v>101</v>
      </c>
      <c r="N6" s="4" t="s">
        <v>102</v>
      </c>
      <c r="O6" s="4">
        <v>18</v>
      </c>
      <c r="P6" s="4"/>
      <c r="Q6" s="4" t="s">
        <v>103</v>
      </c>
      <c r="R6" s="4">
        <v>6</v>
      </c>
      <c r="S6" s="4">
        <v>1</v>
      </c>
      <c r="T6" s="4">
        <v>0</v>
      </c>
      <c r="U6" s="4">
        <v>516</v>
      </c>
      <c r="V6" s="4">
        <v>330</v>
      </c>
      <c r="W6" s="4" t="s">
        <v>104</v>
      </c>
      <c r="X6" s="5"/>
      <c r="Y6" s="5">
        <v>0.745</v>
      </c>
      <c r="Z6" s="5"/>
      <c r="AA6" s="5"/>
      <c r="AB6" s="5"/>
      <c r="AC6" s="4" t="s">
        <v>105</v>
      </c>
      <c r="AD6" s="5"/>
      <c r="AE6" s="5"/>
      <c r="AF6" s="6" t="str">
        <f t="shared" si="0"/>
        <v/>
      </c>
      <c r="AG6" s="4" t="s">
        <v>106</v>
      </c>
      <c r="AH6" s="4">
        <v>36193</v>
      </c>
      <c r="AI6" s="4" t="s">
        <v>107</v>
      </c>
      <c r="AJ6" s="5"/>
      <c r="AK6" s="5">
        <v>0.42</v>
      </c>
      <c r="AL6" s="4"/>
      <c r="AM6" s="4" t="s">
        <v>108</v>
      </c>
      <c r="AN6" s="4" t="s">
        <v>109</v>
      </c>
      <c r="AO6" s="4" t="s">
        <v>110</v>
      </c>
    </row>
    <row r="7" spans="1:41" ht="60" x14ac:dyDescent="0.25">
      <c r="A7" s="2" t="s">
        <v>95</v>
      </c>
      <c r="B7" s="2" t="s">
        <v>111</v>
      </c>
      <c r="C7" s="2" t="s">
        <v>97</v>
      </c>
      <c r="D7" s="2">
        <v>2020</v>
      </c>
      <c r="E7" s="3"/>
      <c r="F7" s="3"/>
      <c r="G7" s="4">
        <v>31</v>
      </c>
      <c r="H7" s="2" t="s">
        <v>44</v>
      </c>
      <c r="I7" s="4" t="s">
        <v>83</v>
      </c>
      <c r="J7" s="2" t="s">
        <v>98</v>
      </c>
      <c r="K7" s="2" t="s">
        <v>99</v>
      </c>
      <c r="L7" s="4" t="s">
        <v>100</v>
      </c>
      <c r="M7" s="4" t="s">
        <v>101</v>
      </c>
      <c r="N7" s="4" t="s">
        <v>102</v>
      </c>
      <c r="O7" s="4">
        <v>18</v>
      </c>
      <c r="P7" s="4"/>
      <c r="Q7" s="4" t="s">
        <v>112</v>
      </c>
      <c r="R7" s="4">
        <v>6</v>
      </c>
      <c r="S7" s="4">
        <v>1</v>
      </c>
      <c r="T7" s="4">
        <v>0</v>
      </c>
      <c r="U7" s="4">
        <v>655</v>
      </c>
      <c r="V7" s="4">
        <v>806</v>
      </c>
      <c r="W7" s="4" t="s">
        <v>113</v>
      </c>
      <c r="X7" s="5"/>
      <c r="Y7" s="5"/>
      <c r="Z7" s="5"/>
      <c r="AA7" s="5"/>
      <c r="AB7" s="5"/>
      <c r="AC7" s="4" t="s">
        <v>105</v>
      </c>
      <c r="AD7" s="5"/>
      <c r="AE7" s="5"/>
      <c r="AF7" s="6" t="str">
        <f t="shared" si="0"/>
        <v/>
      </c>
      <c r="AG7" s="4" t="s">
        <v>106</v>
      </c>
      <c r="AH7" s="4">
        <v>38558</v>
      </c>
      <c r="AI7" s="4" t="s">
        <v>107</v>
      </c>
      <c r="AJ7" s="5"/>
      <c r="AK7" s="5">
        <v>0.22</v>
      </c>
      <c r="AL7" s="4"/>
      <c r="AM7" s="4" t="s">
        <v>108</v>
      </c>
      <c r="AN7" s="4" t="s">
        <v>114</v>
      </c>
      <c r="AO7" s="4" t="s">
        <v>115</v>
      </c>
    </row>
    <row r="8" spans="1:41" ht="60" x14ac:dyDescent="0.25">
      <c r="A8" s="2" t="s">
        <v>95</v>
      </c>
      <c r="B8" s="2" t="s">
        <v>116</v>
      </c>
      <c r="C8" s="2" t="s">
        <v>97</v>
      </c>
      <c r="D8" s="2">
        <v>2021</v>
      </c>
      <c r="E8" s="3"/>
      <c r="F8" s="3"/>
      <c r="G8" s="4">
        <v>21</v>
      </c>
      <c r="H8" s="2" t="s">
        <v>44</v>
      </c>
      <c r="I8" s="4" t="s">
        <v>83</v>
      </c>
      <c r="J8" s="2" t="s">
        <v>98</v>
      </c>
      <c r="K8" s="2" t="s">
        <v>99</v>
      </c>
      <c r="L8" s="4" t="s">
        <v>100</v>
      </c>
      <c r="M8" s="4" t="s">
        <v>101</v>
      </c>
      <c r="N8" s="4" t="s">
        <v>102</v>
      </c>
      <c r="O8" s="4">
        <v>18</v>
      </c>
      <c r="P8" s="4"/>
      <c r="Q8" s="4" t="s">
        <v>117</v>
      </c>
      <c r="R8" s="4">
        <v>5</v>
      </c>
      <c r="S8" s="4">
        <v>1</v>
      </c>
      <c r="T8" s="4">
        <v>0</v>
      </c>
      <c r="U8" s="4">
        <v>498</v>
      </c>
      <c r="V8" s="4">
        <v>469</v>
      </c>
      <c r="W8" s="4" t="s">
        <v>118</v>
      </c>
      <c r="X8" s="5"/>
      <c r="Y8" s="5"/>
      <c r="Z8" s="5"/>
      <c r="AA8" s="5"/>
      <c r="AB8" s="5"/>
      <c r="AC8" s="4" t="s">
        <v>105</v>
      </c>
      <c r="AD8" s="5"/>
      <c r="AE8" s="5"/>
      <c r="AF8" s="6" t="str">
        <f t="shared" si="0"/>
        <v/>
      </c>
      <c r="AG8" s="4" t="s">
        <v>106</v>
      </c>
      <c r="AH8" s="4">
        <v>21115</v>
      </c>
      <c r="AI8" s="4" t="s">
        <v>107</v>
      </c>
      <c r="AJ8" s="5"/>
      <c r="AK8" s="5">
        <v>0.25</v>
      </c>
      <c r="AL8" s="4"/>
      <c r="AM8" s="4" t="s">
        <v>108</v>
      </c>
      <c r="AN8" s="4" t="s">
        <v>114</v>
      </c>
      <c r="AO8" s="4" t="s">
        <v>119</v>
      </c>
    </row>
    <row r="9" spans="1:41" ht="60" x14ac:dyDescent="0.25">
      <c r="A9" s="2" t="s">
        <v>95</v>
      </c>
      <c r="B9" s="2" t="s">
        <v>120</v>
      </c>
      <c r="C9" s="2" t="s">
        <v>97</v>
      </c>
      <c r="D9" s="2">
        <v>2021</v>
      </c>
      <c r="E9" s="3"/>
      <c r="F9" s="3"/>
      <c r="G9" s="4">
        <v>21</v>
      </c>
      <c r="H9" s="2" t="s">
        <v>44</v>
      </c>
      <c r="I9" s="4" t="s">
        <v>83</v>
      </c>
      <c r="J9" s="2" t="s">
        <v>98</v>
      </c>
      <c r="K9" s="2" t="s">
        <v>99</v>
      </c>
      <c r="L9" s="4" t="s">
        <v>100</v>
      </c>
      <c r="M9" s="4" t="s">
        <v>101</v>
      </c>
      <c r="N9" s="4" t="s">
        <v>102</v>
      </c>
      <c r="O9" s="4">
        <v>18</v>
      </c>
      <c r="P9" s="4"/>
      <c r="Q9" s="4" t="s">
        <v>112</v>
      </c>
      <c r="R9" s="4">
        <v>6</v>
      </c>
      <c r="S9" s="4">
        <v>1</v>
      </c>
      <c r="T9" s="4">
        <v>0</v>
      </c>
      <c r="U9" s="4">
        <v>597</v>
      </c>
      <c r="V9" s="4">
        <v>411</v>
      </c>
      <c r="W9" s="4" t="s">
        <v>121</v>
      </c>
      <c r="X9" s="5"/>
      <c r="Y9" s="5"/>
      <c r="Z9" s="5"/>
      <c r="AA9" s="5"/>
      <c r="AB9" s="5"/>
      <c r="AC9" s="4" t="s">
        <v>105</v>
      </c>
      <c r="AD9" s="5"/>
      <c r="AE9" s="5"/>
      <c r="AF9" s="6" t="str">
        <f t="shared" si="0"/>
        <v/>
      </c>
      <c r="AG9" s="4" t="s">
        <v>106</v>
      </c>
      <c r="AH9" s="4">
        <v>24949</v>
      </c>
      <c r="AI9" s="4" t="s">
        <v>107</v>
      </c>
      <c r="AJ9" s="5"/>
      <c r="AK9" s="5">
        <v>0.23</v>
      </c>
      <c r="AL9" s="4"/>
      <c r="AM9" s="4" t="s">
        <v>108</v>
      </c>
      <c r="AN9" s="4" t="s">
        <v>114</v>
      </c>
      <c r="AO9" s="4" t="s">
        <v>122</v>
      </c>
    </row>
    <row r="10" spans="1:41" ht="60" x14ac:dyDescent="0.25">
      <c r="A10" s="2" t="s">
        <v>95</v>
      </c>
      <c r="B10" s="2" t="s">
        <v>123</v>
      </c>
      <c r="C10" s="2" t="s">
        <v>97</v>
      </c>
      <c r="D10" s="2">
        <v>2022</v>
      </c>
      <c r="E10" s="3"/>
      <c r="F10" s="3"/>
      <c r="G10" s="4">
        <v>21</v>
      </c>
      <c r="H10" s="2" t="s">
        <v>44</v>
      </c>
      <c r="I10" s="4" t="s">
        <v>83</v>
      </c>
      <c r="J10" s="2" t="s">
        <v>98</v>
      </c>
      <c r="K10" s="2" t="s">
        <v>99</v>
      </c>
      <c r="L10" s="4" t="s">
        <v>100</v>
      </c>
      <c r="M10" s="4" t="s">
        <v>101</v>
      </c>
      <c r="N10" s="4" t="s">
        <v>102</v>
      </c>
      <c r="O10" s="4">
        <v>18</v>
      </c>
      <c r="P10" s="4"/>
      <c r="Q10" s="4" t="s">
        <v>112</v>
      </c>
      <c r="R10" s="4">
        <v>6</v>
      </c>
      <c r="S10" s="4">
        <v>1</v>
      </c>
      <c r="T10" s="4">
        <v>0</v>
      </c>
      <c r="U10" s="4">
        <v>490</v>
      </c>
      <c r="V10" s="4">
        <v>446</v>
      </c>
      <c r="W10" s="4" t="s">
        <v>124</v>
      </c>
      <c r="X10" s="5"/>
      <c r="Y10" s="5"/>
      <c r="Z10" s="5"/>
      <c r="AA10" s="5"/>
      <c r="AB10" s="5"/>
      <c r="AC10" s="4" t="s">
        <v>105</v>
      </c>
      <c r="AD10" s="5"/>
      <c r="AE10" s="5"/>
      <c r="AF10" s="6" t="str">
        <f t="shared" si="0"/>
        <v/>
      </c>
      <c r="AG10" s="4" t="s">
        <v>106</v>
      </c>
      <c r="AH10" s="4">
        <v>23968</v>
      </c>
      <c r="AI10" s="4" t="s">
        <v>107</v>
      </c>
      <c r="AJ10" s="5"/>
      <c r="AK10" s="5">
        <v>0.25</v>
      </c>
      <c r="AL10" s="4"/>
      <c r="AM10" s="4" t="s">
        <v>108</v>
      </c>
      <c r="AN10" s="4" t="s">
        <v>114</v>
      </c>
      <c r="AO10" s="4" t="s">
        <v>125</v>
      </c>
    </row>
    <row r="11" spans="1:41" ht="60" x14ac:dyDescent="0.25">
      <c r="A11" s="2" t="s">
        <v>126</v>
      </c>
      <c r="B11" s="2" t="s">
        <v>127</v>
      </c>
      <c r="C11" s="2" t="s">
        <v>128</v>
      </c>
      <c r="D11" s="2">
        <v>2024</v>
      </c>
      <c r="E11" s="3"/>
      <c r="F11" s="3"/>
      <c r="G11" s="4">
        <v>39</v>
      </c>
      <c r="H11" s="2" t="s">
        <v>44</v>
      </c>
      <c r="I11" s="4" t="s">
        <v>45</v>
      </c>
      <c r="J11" s="2" t="s">
        <v>98</v>
      </c>
      <c r="K11" s="2" t="s">
        <v>129</v>
      </c>
      <c r="L11" s="4" t="s">
        <v>130</v>
      </c>
      <c r="M11" s="4" t="s">
        <v>131</v>
      </c>
      <c r="N11" s="4" t="s">
        <v>132</v>
      </c>
      <c r="O11" s="4">
        <v>18</v>
      </c>
      <c r="P11" s="4"/>
      <c r="Q11" s="4" t="s">
        <v>133</v>
      </c>
      <c r="R11" s="4">
        <v>2</v>
      </c>
      <c r="S11" s="4">
        <v>1</v>
      </c>
      <c r="T11" s="4">
        <v>0</v>
      </c>
      <c r="U11" s="4"/>
      <c r="V11" s="4"/>
      <c r="W11" s="4" t="s">
        <v>134</v>
      </c>
      <c r="X11" s="5"/>
      <c r="Y11" s="5"/>
      <c r="Z11" s="5"/>
      <c r="AA11" s="5"/>
      <c r="AB11" s="5"/>
      <c r="AC11" s="4" t="s">
        <v>105</v>
      </c>
      <c r="AD11" s="5"/>
      <c r="AE11" s="5"/>
      <c r="AF11" s="6" t="str">
        <f t="shared" si="0"/>
        <v/>
      </c>
      <c r="AG11" s="4" t="s">
        <v>106</v>
      </c>
      <c r="AH11" s="4">
        <v>7878</v>
      </c>
      <c r="AI11" s="4" t="s">
        <v>107</v>
      </c>
      <c r="AJ11" s="5"/>
      <c r="AK11" s="5">
        <v>0.56999999999999995</v>
      </c>
      <c r="AL11" s="4"/>
      <c r="AM11" s="4" t="s">
        <v>135</v>
      </c>
      <c r="AN11" s="4" t="s">
        <v>114</v>
      </c>
      <c r="AO11" s="4" t="s">
        <v>136</v>
      </c>
    </row>
    <row r="12" spans="1:41" ht="105" x14ac:dyDescent="0.25">
      <c r="A12" s="2" t="s">
        <v>137</v>
      </c>
      <c r="B12" s="2" t="s">
        <v>138</v>
      </c>
      <c r="C12" s="2" t="s">
        <v>139</v>
      </c>
      <c r="D12" s="2">
        <v>2018</v>
      </c>
      <c r="E12" s="3">
        <v>43352</v>
      </c>
      <c r="F12" s="3">
        <v>43373</v>
      </c>
      <c r="G12" s="4">
        <v>22</v>
      </c>
      <c r="H12" s="2" t="s">
        <v>44</v>
      </c>
      <c r="I12" s="4" t="s">
        <v>140</v>
      </c>
      <c r="J12" s="2" t="s">
        <v>98</v>
      </c>
      <c r="K12" s="2" t="s">
        <v>141</v>
      </c>
      <c r="L12" s="4" t="s">
        <v>142</v>
      </c>
      <c r="M12" s="4" t="s">
        <v>143</v>
      </c>
      <c r="N12" s="4" t="s">
        <v>144</v>
      </c>
      <c r="O12" s="4">
        <v>15</v>
      </c>
      <c r="P12" s="4"/>
      <c r="Q12" s="4" t="s">
        <v>145</v>
      </c>
      <c r="R12" s="4">
        <v>6</v>
      </c>
      <c r="S12" s="4">
        <v>1</v>
      </c>
      <c r="T12" s="4">
        <v>0</v>
      </c>
      <c r="U12" s="4"/>
      <c r="V12" s="4"/>
      <c r="W12" s="4" t="s">
        <v>146</v>
      </c>
      <c r="X12" s="5"/>
      <c r="Y12" s="7"/>
      <c r="Z12" s="5"/>
      <c r="AA12" s="5"/>
      <c r="AB12" s="5">
        <v>0.94</v>
      </c>
      <c r="AC12" s="4" t="s">
        <v>147</v>
      </c>
      <c r="AD12" s="5">
        <v>0.94</v>
      </c>
      <c r="AE12" s="5"/>
      <c r="AF12" s="6" t="str">
        <f t="shared" si="0"/>
        <v/>
      </c>
      <c r="AG12" s="4"/>
      <c r="AH12" s="4"/>
      <c r="AI12" s="4"/>
      <c r="AJ12" s="5"/>
      <c r="AK12" s="5"/>
      <c r="AL12" s="4"/>
      <c r="AM12" s="4" t="s">
        <v>148</v>
      </c>
      <c r="AN12" s="4" t="s">
        <v>149</v>
      </c>
      <c r="AO12" s="8" t="s">
        <v>150</v>
      </c>
    </row>
    <row r="13" spans="1:41" ht="165" x14ac:dyDescent="0.25">
      <c r="A13" s="2" t="s">
        <v>151</v>
      </c>
      <c r="B13" s="2" t="s">
        <v>152</v>
      </c>
      <c r="C13" s="2" t="s">
        <v>153</v>
      </c>
      <c r="D13" s="2">
        <v>2019</v>
      </c>
      <c r="E13" s="3">
        <v>43724</v>
      </c>
      <c r="F13" s="3">
        <v>43813</v>
      </c>
      <c r="G13" s="4">
        <v>90</v>
      </c>
      <c r="H13" s="2" t="s">
        <v>154</v>
      </c>
      <c r="I13" s="4" t="s">
        <v>155</v>
      </c>
      <c r="J13" s="2" t="s">
        <v>156</v>
      </c>
      <c r="K13" s="2" t="s">
        <v>157</v>
      </c>
      <c r="L13" s="4" t="s">
        <v>158</v>
      </c>
      <c r="M13" s="4" t="s">
        <v>159</v>
      </c>
      <c r="N13" s="4" t="s">
        <v>160</v>
      </c>
      <c r="O13" s="4"/>
      <c r="P13" s="4"/>
      <c r="Q13" s="4" t="s">
        <v>161</v>
      </c>
      <c r="R13" s="4">
        <v>4</v>
      </c>
      <c r="S13" s="4">
        <v>1</v>
      </c>
      <c r="T13" s="4">
        <v>0</v>
      </c>
      <c r="U13" s="4"/>
      <c r="V13" s="4"/>
      <c r="W13" s="4" t="s">
        <v>162</v>
      </c>
      <c r="X13" s="5"/>
      <c r="Y13" s="7">
        <v>0.61299999999999999</v>
      </c>
      <c r="Z13" s="5"/>
      <c r="AA13" s="5"/>
      <c r="AB13" s="5"/>
      <c r="AC13" s="4" t="s">
        <v>163</v>
      </c>
      <c r="AD13" s="5">
        <v>1.22</v>
      </c>
      <c r="AE13" s="5">
        <v>1</v>
      </c>
      <c r="AF13" s="6">
        <f t="shared" si="0"/>
        <v>21.999999999999996</v>
      </c>
      <c r="AG13" s="4" t="s">
        <v>164</v>
      </c>
      <c r="AH13" s="4">
        <v>10143</v>
      </c>
      <c r="AI13" s="4" t="s">
        <v>165</v>
      </c>
      <c r="AJ13" s="5"/>
      <c r="AK13" s="5"/>
      <c r="AL13" s="4">
        <v>5556</v>
      </c>
      <c r="AM13" s="4" t="s">
        <v>166</v>
      </c>
      <c r="AN13" s="4" t="s">
        <v>167</v>
      </c>
      <c r="AO13" s="8" t="s">
        <v>168</v>
      </c>
    </row>
    <row r="14" spans="1:41" ht="60" x14ac:dyDescent="0.25">
      <c r="A14" s="2" t="s">
        <v>169</v>
      </c>
      <c r="B14" s="2" t="s">
        <v>170</v>
      </c>
      <c r="C14" s="2" t="s">
        <v>171</v>
      </c>
      <c r="D14" s="2">
        <v>2016</v>
      </c>
      <c r="E14" s="3"/>
      <c r="F14" s="3"/>
      <c r="G14" s="4"/>
      <c r="H14" s="2" t="s">
        <v>44</v>
      </c>
      <c r="I14" s="4" t="s">
        <v>172</v>
      </c>
      <c r="J14" s="2" t="s">
        <v>173</v>
      </c>
      <c r="K14" s="2" t="s">
        <v>174</v>
      </c>
      <c r="L14" s="4" t="s">
        <v>175</v>
      </c>
      <c r="M14" s="4" t="s">
        <v>176</v>
      </c>
      <c r="N14" s="4" t="s">
        <v>177</v>
      </c>
      <c r="O14" s="4">
        <v>18</v>
      </c>
      <c r="P14" s="4">
        <v>75</v>
      </c>
      <c r="Q14" s="4" t="s">
        <v>178</v>
      </c>
      <c r="R14" s="4">
        <v>4</v>
      </c>
      <c r="S14" s="4">
        <v>1</v>
      </c>
      <c r="T14" s="4">
        <v>0</v>
      </c>
      <c r="U14" s="4"/>
      <c r="V14" s="4"/>
      <c r="W14" s="4" t="s">
        <v>179</v>
      </c>
      <c r="X14" s="5"/>
      <c r="Y14" s="5">
        <v>0.82899999999999996</v>
      </c>
      <c r="Z14" s="5"/>
      <c r="AA14" s="5"/>
      <c r="AB14" s="5"/>
      <c r="AC14" s="4" t="s">
        <v>180</v>
      </c>
      <c r="AD14" s="5">
        <v>2.9000000000000001E-2</v>
      </c>
      <c r="AE14" s="5"/>
      <c r="AF14" s="6" t="str">
        <f t="shared" si="0"/>
        <v/>
      </c>
      <c r="AG14" s="4" t="s">
        <v>181</v>
      </c>
      <c r="AH14" s="4">
        <v>180113</v>
      </c>
      <c r="AI14" s="4" t="s">
        <v>182</v>
      </c>
      <c r="AJ14" s="5"/>
      <c r="AK14" s="5"/>
      <c r="AL14" s="4"/>
      <c r="AM14" s="4" t="s">
        <v>183</v>
      </c>
      <c r="AN14" s="4" t="s">
        <v>184</v>
      </c>
      <c r="AO14" s="4" t="s">
        <v>185</v>
      </c>
    </row>
    <row r="15" spans="1:41" ht="60" x14ac:dyDescent="0.25">
      <c r="A15" s="2" t="s">
        <v>169</v>
      </c>
      <c r="B15" s="2" t="s">
        <v>186</v>
      </c>
      <c r="C15" s="2" t="s">
        <v>171</v>
      </c>
      <c r="D15" s="2">
        <v>2017</v>
      </c>
      <c r="E15" s="3"/>
      <c r="F15" s="3"/>
      <c r="G15" s="4"/>
      <c r="H15" s="2" t="s">
        <v>44</v>
      </c>
      <c r="I15" s="4" t="s">
        <v>172</v>
      </c>
      <c r="J15" s="2" t="s">
        <v>173</v>
      </c>
      <c r="K15" s="2" t="s">
        <v>174</v>
      </c>
      <c r="L15" s="4" t="s">
        <v>175</v>
      </c>
      <c r="M15" s="4" t="s">
        <v>176</v>
      </c>
      <c r="N15" s="4" t="s">
        <v>177</v>
      </c>
      <c r="O15" s="4">
        <v>18</v>
      </c>
      <c r="P15" s="4">
        <v>75</v>
      </c>
      <c r="Q15" s="4" t="s">
        <v>178</v>
      </c>
      <c r="R15" s="4">
        <v>4</v>
      </c>
      <c r="S15" s="4">
        <v>1</v>
      </c>
      <c r="T15" s="4">
        <v>0</v>
      </c>
      <c r="U15" s="4"/>
      <c r="V15" s="4"/>
      <c r="W15" s="4" t="s">
        <v>179</v>
      </c>
      <c r="X15" s="5"/>
      <c r="Y15" s="5"/>
      <c r="Z15" s="5"/>
      <c r="AA15" s="5"/>
      <c r="AB15" s="5"/>
      <c r="AC15" s="4" t="s">
        <v>180</v>
      </c>
      <c r="AD15" s="5">
        <v>2.9000000000000001E-2</v>
      </c>
      <c r="AE15" s="5"/>
      <c r="AF15" s="6" t="str">
        <f t="shared" si="0"/>
        <v/>
      </c>
      <c r="AG15" s="4" t="s">
        <v>181</v>
      </c>
      <c r="AH15" s="4">
        <v>158290</v>
      </c>
      <c r="AI15" s="4" t="s">
        <v>182</v>
      </c>
      <c r="AJ15" s="5"/>
      <c r="AK15" s="5"/>
      <c r="AL15" s="4"/>
      <c r="AM15" s="4" t="s">
        <v>183</v>
      </c>
      <c r="AN15" s="4" t="s">
        <v>184</v>
      </c>
      <c r="AO15" s="4" t="s">
        <v>187</v>
      </c>
    </row>
    <row r="16" spans="1:41" ht="60" x14ac:dyDescent="0.25">
      <c r="A16" s="2" t="s">
        <v>169</v>
      </c>
      <c r="B16" s="2" t="s">
        <v>188</v>
      </c>
      <c r="C16" s="2" t="s">
        <v>171</v>
      </c>
      <c r="D16" s="2">
        <v>2018</v>
      </c>
      <c r="E16" s="3"/>
      <c r="F16" s="3"/>
      <c r="G16" s="4"/>
      <c r="H16" s="2" t="s">
        <v>44</v>
      </c>
      <c r="I16" s="4" t="s">
        <v>172</v>
      </c>
      <c r="J16" s="2" t="s">
        <v>173</v>
      </c>
      <c r="K16" s="2" t="s">
        <v>174</v>
      </c>
      <c r="L16" s="4" t="s">
        <v>175</v>
      </c>
      <c r="M16" s="4" t="s">
        <v>176</v>
      </c>
      <c r="N16" s="4" t="s">
        <v>177</v>
      </c>
      <c r="O16" s="4">
        <v>18</v>
      </c>
      <c r="P16" s="4">
        <v>75</v>
      </c>
      <c r="Q16" s="4" t="s">
        <v>178</v>
      </c>
      <c r="R16" s="4">
        <v>4</v>
      </c>
      <c r="S16" s="4">
        <v>1</v>
      </c>
      <c r="T16" s="4">
        <v>0</v>
      </c>
      <c r="U16" s="4"/>
      <c r="V16" s="4"/>
      <c r="W16" s="4" t="s">
        <v>179</v>
      </c>
      <c r="X16" s="5"/>
      <c r="Y16" s="5"/>
      <c r="Z16" s="5"/>
      <c r="AA16" s="5"/>
      <c r="AB16" s="5"/>
      <c r="AC16" s="4" t="s">
        <v>180</v>
      </c>
      <c r="AD16" s="5">
        <v>4.8000000000000001E-2</v>
      </c>
      <c r="AE16" s="5"/>
      <c r="AF16" s="6" t="str">
        <f t="shared" si="0"/>
        <v/>
      </c>
      <c r="AG16" s="4" t="s">
        <v>181</v>
      </c>
      <c r="AH16" s="4">
        <v>242579</v>
      </c>
      <c r="AI16" s="4" t="s">
        <v>182</v>
      </c>
      <c r="AJ16" s="5"/>
      <c r="AK16" s="5"/>
      <c r="AL16" s="4"/>
      <c r="AM16" s="4" t="s">
        <v>183</v>
      </c>
      <c r="AN16" s="4" t="s">
        <v>184</v>
      </c>
      <c r="AO16" s="4" t="s">
        <v>189</v>
      </c>
    </row>
    <row r="17" spans="1:41" ht="60" x14ac:dyDescent="0.25">
      <c r="A17" s="2" t="s">
        <v>169</v>
      </c>
      <c r="B17" s="2" t="s">
        <v>190</v>
      </c>
      <c r="C17" s="2" t="s">
        <v>171</v>
      </c>
      <c r="D17" s="2">
        <v>2019</v>
      </c>
      <c r="E17" s="3"/>
      <c r="F17" s="3"/>
      <c r="G17" s="4"/>
      <c r="H17" s="2" t="s">
        <v>44</v>
      </c>
      <c r="I17" s="4" t="s">
        <v>172</v>
      </c>
      <c r="J17" s="2" t="s">
        <v>173</v>
      </c>
      <c r="K17" s="2" t="s">
        <v>174</v>
      </c>
      <c r="L17" s="4" t="s">
        <v>175</v>
      </c>
      <c r="M17" s="4" t="s">
        <v>176</v>
      </c>
      <c r="N17" s="4" t="s">
        <v>177</v>
      </c>
      <c r="O17" s="4">
        <v>18</v>
      </c>
      <c r="P17" s="4">
        <v>75</v>
      </c>
      <c r="Q17" s="4" t="s">
        <v>178</v>
      </c>
      <c r="R17" s="4">
        <v>4</v>
      </c>
      <c r="S17" s="4">
        <v>1</v>
      </c>
      <c r="T17" s="4">
        <v>0</v>
      </c>
      <c r="U17" s="4"/>
      <c r="V17" s="4"/>
      <c r="W17" s="4" t="s">
        <v>179</v>
      </c>
      <c r="X17" s="5"/>
      <c r="Y17" s="5"/>
      <c r="Z17" s="5"/>
      <c r="AA17" s="5"/>
      <c r="AB17" s="5"/>
      <c r="AC17" s="4" t="s">
        <v>180</v>
      </c>
      <c r="AD17" s="5">
        <v>4.2999999999999997E-2</v>
      </c>
      <c r="AE17" s="5"/>
      <c r="AF17" s="6" t="str">
        <f t="shared" si="0"/>
        <v/>
      </c>
      <c r="AG17" s="4" t="s">
        <v>181</v>
      </c>
      <c r="AH17" s="4">
        <v>203892</v>
      </c>
      <c r="AI17" s="4" t="s">
        <v>182</v>
      </c>
      <c r="AJ17" s="5"/>
      <c r="AK17" s="5"/>
      <c r="AL17" s="4"/>
      <c r="AM17" s="4" t="s">
        <v>183</v>
      </c>
      <c r="AN17" s="4" t="s">
        <v>184</v>
      </c>
      <c r="AO17" s="4" t="s">
        <v>191</v>
      </c>
    </row>
    <row r="18" spans="1:41" ht="90" x14ac:dyDescent="0.25">
      <c r="A18" s="2" t="s">
        <v>192</v>
      </c>
      <c r="B18" s="2" t="s">
        <v>193</v>
      </c>
      <c r="C18" s="2" t="s">
        <v>194</v>
      </c>
      <c r="D18" s="2">
        <v>2002</v>
      </c>
      <c r="E18" s="3">
        <v>37430</v>
      </c>
      <c r="F18" s="3">
        <v>37444</v>
      </c>
      <c r="G18" s="4">
        <v>15</v>
      </c>
      <c r="H18" s="2" t="s">
        <v>195</v>
      </c>
      <c r="I18" s="4" t="s">
        <v>45</v>
      </c>
      <c r="J18" s="2" t="s">
        <v>173</v>
      </c>
      <c r="K18" s="2" t="s">
        <v>196</v>
      </c>
      <c r="L18" s="4" t="s">
        <v>197</v>
      </c>
      <c r="M18" s="4" t="s">
        <v>198</v>
      </c>
      <c r="N18" s="4" t="s">
        <v>88</v>
      </c>
      <c r="O18" s="4">
        <v>15</v>
      </c>
      <c r="P18" s="4"/>
      <c r="Q18" s="4" t="s">
        <v>199</v>
      </c>
      <c r="R18" s="4">
        <v>2</v>
      </c>
      <c r="S18" s="4">
        <v>1</v>
      </c>
      <c r="T18" s="4">
        <v>0</v>
      </c>
      <c r="U18" s="4"/>
      <c r="V18" s="4"/>
      <c r="W18" s="4" t="s">
        <v>200</v>
      </c>
      <c r="X18" s="5">
        <v>0.36</v>
      </c>
      <c r="Y18" s="5">
        <v>0.56999999999999995</v>
      </c>
      <c r="Z18" s="5"/>
      <c r="AA18" s="5"/>
      <c r="AB18" s="5"/>
      <c r="AC18" s="4"/>
      <c r="AD18" s="5"/>
      <c r="AE18" s="5"/>
      <c r="AF18" s="6" t="str">
        <f t="shared" si="0"/>
        <v/>
      </c>
      <c r="AG18" s="4"/>
      <c r="AH18" s="4"/>
      <c r="AI18" s="4"/>
      <c r="AJ18" s="5"/>
      <c r="AK18" s="5"/>
      <c r="AL18" s="4">
        <v>896</v>
      </c>
      <c r="AM18" s="4" t="s">
        <v>201</v>
      </c>
      <c r="AN18" s="4" t="s">
        <v>202</v>
      </c>
      <c r="AO18" s="4" t="s">
        <v>203</v>
      </c>
    </row>
    <row r="19" spans="1:41" ht="165" x14ac:dyDescent="0.25">
      <c r="A19" s="2" t="s">
        <v>204</v>
      </c>
      <c r="B19" s="2" t="s">
        <v>205</v>
      </c>
      <c r="C19" s="2" t="s">
        <v>206</v>
      </c>
      <c r="D19" s="2">
        <v>2002</v>
      </c>
      <c r="E19" s="3"/>
      <c r="F19" s="3"/>
      <c r="G19" s="4"/>
      <c r="H19" s="2" t="s">
        <v>207</v>
      </c>
      <c r="I19" s="4" t="s">
        <v>208</v>
      </c>
      <c r="J19" s="2" t="s">
        <v>156</v>
      </c>
      <c r="K19" s="2" t="s">
        <v>209</v>
      </c>
      <c r="L19" s="4" t="s">
        <v>210</v>
      </c>
      <c r="M19" s="4" t="s">
        <v>211</v>
      </c>
      <c r="N19" s="4" t="s">
        <v>212</v>
      </c>
      <c r="O19" s="4"/>
      <c r="P19" s="4"/>
      <c r="Q19" s="4" t="s">
        <v>213</v>
      </c>
      <c r="R19" s="4">
        <v>7</v>
      </c>
      <c r="S19" s="4">
        <v>1</v>
      </c>
      <c r="T19" s="4">
        <v>0</v>
      </c>
      <c r="U19" s="4"/>
      <c r="V19" s="4"/>
      <c r="W19" s="4" t="s">
        <v>214</v>
      </c>
      <c r="X19" s="5"/>
      <c r="Y19" s="5">
        <v>0.94</v>
      </c>
      <c r="Z19" s="5">
        <v>0.54</v>
      </c>
      <c r="AA19" s="5"/>
      <c r="AB19" s="5"/>
      <c r="AC19" s="4" t="s">
        <v>215</v>
      </c>
      <c r="AD19" s="5">
        <v>0.56000000000000005</v>
      </c>
      <c r="AE19" s="5"/>
      <c r="AF19" s="6" t="str">
        <f t="shared" si="0"/>
        <v/>
      </c>
      <c r="AG19" s="4"/>
      <c r="AH19" s="4"/>
      <c r="AI19" s="4"/>
      <c r="AJ19" s="5"/>
      <c r="AK19" s="5"/>
      <c r="AL19" s="4">
        <v>198</v>
      </c>
      <c r="AM19" s="4" t="s">
        <v>216</v>
      </c>
      <c r="AN19" s="4" t="s">
        <v>217</v>
      </c>
      <c r="AO19" s="4" t="s">
        <v>218</v>
      </c>
    </row>
    <row r="20" spans="1:41" ht="105" x14ac:dyDescent="0.25">
      <c r="A20" s="2" t="s">
        <v>219</v>
      </c>
      <c r="B20" s="2" t="s">
        <v>220</v>
      </c>
      <c r="C20" s="2" t="s">
        <v>221</v>
      </c>
      <c r="D20" s="2">
        <v>2009</v>
      </c>
      <c r="E20" s="3">
        <v>39448</v>
      </c>
      <c r="F20" s="3">
        <v>40178</v>
      </c>
      <c r="G20" s="4">
        <v>731</v>
      </c>
      <c r="H20" s="2" t="s">
        <v>222</v>
      </c>
      <c r="I20" s="4" t="s">
        <v>223</v>
      </c>
      <c r="J20" s="2" t="s">
        <v>224</v>
      </c>
      <c r="K20" s="2" t="s">
        <v>225</v>
      </c>
      <c r="L20" s="4" t="s">
        <v>226</v>
      </c>
      <c r="M20" s="4" t="s">
        <v>227</v>
      </c>
      <c r="N20" s="4" t="s">
        <v>228</v>
      </c>
      <c r="O20" s="4">
        <v>50</v>
      </c>
      <c r="P20" s="4">
        <v>74</v>
      </c>
      <c r="Q20" s="4" t="s">
        <v>229</v>
      </c>
      <c r="R20" s="4">
        <v>2</v>
      </c>
      <c r="S20" s="4">
        <v>0</v>
      </c>
      <c r="T20" s="4">
        <v>0</v>
      </c>
      <c r="U20" s="4"/>
      <c r="V20" s="4"/>
      <c r="W20" s="4" t="s">
        <v>230</v>
      </c>
      <c r="X20" s="5"/>
      <c r="Y20" s="5"/>
      <c r="Z20" s="5"/>
      <c r="AA20" s="5"/>
      <c r="AB20" s="5"/>
      <c r="AC20" s="4" t="s">
        <v>231</v>
      </c>
      <c r="AD20" s="5">
        <v>0.34300000000000003</v>
      </c>
      <c r="AE20" s="5">
        <v>0.45</v>
      </c>
      <c r="AF20" s="6">
        <f t="shared" si="0"/>
        <v>-10.7</v>
      </c>
      <c r="AG20" s="4" t="s">
        <v>232</v>
      </c>
      <c r="AH20" s="4">
        <v>3000000</v>
      </c>
      <c r="AI20" s="4" t="s">
        <v>233</v>
      </c>
      <c r="AJ20" s="5"/>
      <c r="AK20" s="5">
        <v>0.88</v>
      </c>
      <c r="AL20" s="4"/>
      <c r="AM20" s="4" t="s">
        <v>234</v>
      </c>
      <c r="AN20" s="4" t="s">
        <v>235</v>
      </c>
      <c r="AO20" s="4" t="s">
        <v>236</v>
      </c>
    </row>
    <row r="21" spans="1:41" ht="120" x14ac:dyDescent="0.25">
      <c r="A21" s="2" t="s">
        <v>237</v>
      </c>
      <c r="B21" s="2" t="s">
        <v>238</v>
      </c>
      <c r="C21" s="2" t="s">
        <v>239</v>
      </c>
      <c r="D21" s="2">
        <v>2018</v>
      </c>
      <c r="E21" s="3">
        <v>43242</v>
      </c>
      <c r="F21" s="3">
        <v>43281</v>
      </c>
      <c r="G21" s="4">
        <v>40</v>
      </c>
      <c r="H21" s="2" t="s">
        <v>240</v>
      </c>
      <c r="I21" s="4" t="s">
        <v>241</v>
      </c>
      <c r="J21" s="2" t="s">
        <v>242</v>
      </c>
      <c r="K21" s="2" t="s">
        <v>243</v>
      </c>
      <c r="L21" s="4" t="s">
        <v>244</v>
      </c>
      <c r="M21" s="4" t="s">
        <v>245</v>
      </c>
      <c r="N21" s="4" t="s">
        <v>246</v>
      </c>
      <c r="O21" s="4">
        <v>0</v>
      </c>
      <c r="P21" s="4">
        <v>5</v>
      </c>
      <c r="Q21" s="4" t="s">
        <v>247</v>
      </c>
      <c r="R21" s="4">
        <v>7</v>
      </c>
      <c r="S21" s="4">
        <v>1</v>
      </c>
      <c r="T21" s="4">
        <v>0</v>
      </c>
      <c r="U21" s="4"/>
      <c r="V21" s="4"/>
      <c r="W21" s="4" t="s">
        <v>248</v>
      </c>
      <c r="X21" s="5"/>
      <c r="Y21" s="5"/>
      <c r="Z21" s="5"/>
      <c r="AA21" s="5"/>
      <c r="AB21" s="5"/>
      <c r="AC21" s="4" t="s">
        <v>249</v>
      </c>
      <c r="AD21" s="5">
        <v>0.47</v>
      </c>
      <c r="AE21" s="5"/>
      <c r="AF21" s="6" t="str">
        <f t="shared" si="0"/>
        <v/>
      </c>
      <c r="AG21" s="4" t="s">
        <v>250</v>
      </c>
      <c r="AH21" s="4">
        <v>23955</v>
      </c>
      <c r="AI21" s="4" t="s">
        <v>251</v>
      </c>
      <c r="AJ21" s="5"/>
      <c r="AK21" s="5"/>
      <c r="AL21" s="4">
        <v>23955</v>
      </c>
      <c r="AM21" s="4" t="s">
        <v>252</v>
      </c>
      <c r="AN21" s="4" t="s">
        <v>253</v>
      </c>
      <c r="AO21" s="4" t="s">
        <v>254</v>
      </c>
    </row>
    <row r="22" spans="1:41" ht="90" x14ac:dyDescent="0.25">
      <c r="A22" s="2" t="s">
        <v>255</v>
      </c>
      <c r="B22" s="2" t="s">
        <v>256</v>
      </c>
      <c r="C22" s="2" t="s">
        <v>257</v>
      </c>
      <c r="D22" s="2">
        <v>2015</v>
      </c>
      <c r="E22" s="3">
        <v>42106</v>
      </c>
      <c r="F22" s="3"/>
      <c r="G22" s="4"/>
      <c r="H22" s="2" t="s">
        <v>258</v>
      </c>
      <c r="I22" s="4" t="s">
        <v>259</v>
      </c>
      <c r="J22" s="2" t="s">
        <v>224</v>
      </c>
      <c r="K22" s="2" t="s">
        <v>225</v>
      </c>
      <c r="L22" s="4" t="s">
        <v>260</v>
      </c>
      <c r="M22" s="4" t="s">
        <v>261</v>
      </c>
      <c r="N22" s="4" t="s">
        <v>262</v>
      </c>
      <c r="O22" s="4">
        <v>50</v>
      </c>
      <c r="P22" s="4">
        <v>74</v>
      </c>
      <c r="Q22" s="4" t="s">
        <v>263</v>
      </c>
      <c r="R22" s="4">
        <v>5</v>
      </c>
      <c r="S22" s="4">
        <v>1</v>
      </c>
      <c r="T22" s="4">
        <v>0</v>
      </c>
      <c r="U22" s="4"/>
      <c r="V22" s="4"/>
      <c r="W22" s="4" t="s">
        <v>264</v>
      </c>
      <c r="X22" s="5">
        <v>0.02</v>
      </c>
      <c r="Y22" s="5">
        <v>0.28000000000000003</v>
      </c>
      <c r="Z22" s="5"/>
      <c r="AA22" s="5"/>
      <c r="AB22" s="5"/>
      <c r="AC22" s="4" t="s">
        <v>265</v>
      </c>
      <c r="AD22" s="5">
        <v>0.28999999999999998</v>
      </c>
      <c r="AE22" s="5">
        <v>0.19</v>
      </c>
      <c r="AF22" s="6">
        <f t="shared" si="0"/>
        <v>9.9999999999999982</v>
      </c>
      <c r="AG22" s="4"/>
      <c r="AH22" s="11"/>
      <c r="AI22" s="4"/>
      <c r="AJ22" s="5"/>
      <c r="AK22" s="5"/>
      <c r="AL22" s="4">
        <v>1051</v>
      </c>
      <c r="AM22" s="4" t="s">
        <v>266</v>
      </c>
      <c r="AN22" s="4" t="s">
        <v>267</v>
      </c>
      <c r="AO22" s="4" t="s">
        <v>268</v>
      </c>
    </row>
    <row r="23" spans="1:41" ht="90" x14ac:dyDescent="0.25">
      <c r="A23" s="2" t="s">
        <v>255</v>
      </c>
      <c r="B23" s="2" t="s">
        <v>269</v>
      </c>
      <c r="C23" s="2" t="s">
        <v>257</v>
      </c>
      <c r="D23" s="2">
        <v>2016</v>
      </c>
      <c r="E23" s="3"/>
      <c r="F23" s="3"/>
      <c r="G23" s="4"/>
      <c r="H23" s="2" t="s">
        <v>258</v>
      </c>
      <c r="I23" s="4" t="s">
        <v>259</v>
      </c>
      <c r="J23" s="2" t="s">
        <v>224</v>
      </c>
      <c r="K23" s="2" t="s">
        <v>225</v>
      </c>
      <c r="L23" s="4" t="s">
        <v>260</v>
      </c>
      <c r="M23" s="4" t="s">
        <v>261</v>
      </c>
      <c r="N23" s="4" t="s">
        <v>262</v>
      </c>
      <c r="O23" s="4">
        <v>50</v>
      </c>
      <c r="P23" s="4">
        <v>74</v>
      </c>
      <c r="Q23" s="4" t="s">
        <v>263</v>
      </c>
      <c r="R23" s="4">
        <v>5</v>
      </c>
      <c r="S23" s="4">
        <v>1</v>
      </c>
      <c r="T23" s="4">
        <v>0</v>
      </c>
      <c r="U23" s="4"/>
      <c r="V23" s="4"/>
      <c r="W23" s="4" t="s">
        <v>270</v>
      </c>
      <c r="X23" s="5">
        <v>0.04</v>
      </c>
      <c r="Y23" s="5">
        <v>0.27</v>
      </c>
      <c r="Z23" s="5"/>
      <c r="AA23" s="5"/>
      <c r="AB23" s="5"/>
      <c r="AC23" s="4" t="s">
        <v>271</v>
      </c>
      <c r="AD23" s="5">
        <v>0.66</v>
      </c>
      <c r="AE23" s="5">
        <v>0.6</v>
      </c>
      <c r="AF23" s="6">
        <f t="shared" si="0"/>
        <v>6.0000000000000053</v>
      </c>
      <c r="AG23" s="4"/>
      <c r="AH23" s="11"/>
      <c r="AI23" s="4"/>
      <c r="AJ23" s="5"/>
      <c r="AK23" s="5"/>
      <c r="AL23" s="4">
        <v>400</v>
      </c>
      <c r="AM23" s="4" t="s">
        <v>272</v>
      </c>
      <c r="AN23" s="4" t="s">
        <v>273</v>
      </c>
      <c r="AO23" s="4" t="s">
        <v>274</v>
      </c>
    </row>
    <row r="24" spans="1:41" ht="75" x14ac:dyDescent="0.25">
      <c r="A24" s="2" t="s">
        <v>275</v>
      </c>
      <c r="B24" s="2" t="s">
        <v>276</v>
      </c>
      <c r="C24" s="2" t="s">
        <v>277</v>
      </c>
      <c r="D24" s="2">
        <v>2016</v>
      </c>
      <c r="E24" s="3"/>
      <c r="F24" s="3"/>
      <c r="G24" s="4"/>
      <c r="H24" s="2" t="s">
        <v>278</v>
      </c>
      <c r="I24" s="4" t="s">
        <v>279</v>
      </c>
      <c r="J24" s="2" t="s">
        <v>173</v>
      </c>
      <c r="K24" s="2" t="s">
        <v>280</v>
      </c>
      <c r="L24" s="4" t="s">
        <v>281</v>
      </c>
      <c r="M24" s="4" t="s">
        <v>282</v>
      </c>
      <c r="N24" s="4" t="s">
        <v>283</v>
      </c>
      <c r="O24" s="4">
        <v>16</v>
      </c>
      <c r="P24" s="4">
        <v>74</v>
      </c>
      <c r="Q24" s="4" t="s">
        <v>284</v>
      </c>
      <c r="R24" s="4">
        <v>5</v>
      </c>
      <c r="S24" s="4">
        <v>1</v>
      </c>
      <c r="T24" s="4">
        <v>1</v>
      </c>
      <c r="U24" s="4"/>
      <c r="V24" s="4"/>
      <c r="W24" s="4" t="s">
        <v>285</v>
      </c>
      <c r="X24" s="5"/>
      <c r="Y24" s="5">
        <v>0.48</v>
      </c>
      <c r="Z24" s="5"/>
      <c r="AA24" s="5"/>
      <c r="AB24" s="5"/>
      <c r="AC24" s="4" t="s">
        <v>286</v>
      </c>
      <c r="AD24" s="5">
        <v>0.16</v>
      </c>
      <c r="AE24" s="5"/>
      <c r="AF24" s="6" t="str">
        <f t="shared" si="0"/>
        <v/>
      </c>
      <c r="AG24" s="4"/>
      <c r="AH24" s="11"/>
      <c r="AI24" s="4"/>
      <c r="AJ24" s="5"/>
      <c r="AK24" s="5">
        <v>0.06</v>
      </c>
      <c r="AL24" s="4">
        <v>700</v>
      </c>
      <c r="AM24" s="4" t="s">
        <v>287</v>
      </c>
      <c r="AN24" s="4" t="s">
        <v>288</v>
      </c>
      <c r="AO24" s="4" t="s">
        <v>289</v>
      </c>
    </row>
    <row r="25" spans="1:41" ht="75" x14ac:dyDescent="0.25">
      <c r="A25" s="2" t="s">
        <v>275</v>
      </c>
      <c r="B25" s="2" t="s">
        <v>290</v>
      </c>
      <c r="C25" s="2" t="s">
        <v>277</v>
      </c>
      <c r="D25" s="2">
        <v>2017</v>
      </c>
      <c r="E25" s="3"/>
      <c r="F25" s="3"/>
      <c r="G25" s="4"/>
      <c r="H25" s="2" t="s">
        <v>278</v>
      </c>
      <c r="I25" s="4" t="s">
        <v>279</v>
      </c>
      <c r="J25" s="2" t="s">
        <v>173</v>
      </c>
      <c r="K25" s="2" t="s">
        <v>280</v>
      </c>
      <c r="L25" s="4" t="s">
        <v>281</v>
      </c>
      <c r="M25" s="4" t="s">
        <v>282</v>
      </c>
      <c r="N25" s="4" t="s">
        <v>291</v>
      </c>
      <c r="O25" s="4">
        <v>16</v>
      </c>
      <c r="P25" s="4">
        <v>74</v>
      </c>
      <c r="Q25" s="4" t="s">
        <v>292</v>
      </c>
      <c r="R25" s="4">
        <v>5</v>
      </c>
      <c r="S25" s="4">
        <v>1</v>
      </c>
      <c r="T25" s="4">
        <v>0</v>
      </c>
      <c r="U25" s="4"/>
      <c r="V25" s="4"/>
      <c r="W25" s="4" t="s">
        <v>293</v>
      </c>
      <c r="X25" s="5"/>
      <c r="Y25" s="5">
        <v>0.57999999999999996</v>
      </c>
      <c r="Z25" s="5"/>
      <c r="AA25" s="5"/>
      <c r="AB25" s="5"/>
      <c r="AC25" s="4" t="s">
        <v>286</v>
      </c>
      <c r="AD25" s="5">
        <v>0.16</v>
      </c>
      <c r="AE25" s="5"/>
      <c r="AF25" s="6" t="str">
        <f t="shared" si="0"/>
        <v/>
      </c>
      <c r="AG25" s="4" t="s">
        <v>294</v>
      </c>
      <c r="AH25" s="11">
        <v>37053</v>
      </c>
      <c r="AI25" s="4" t="s">
        <v>295</v>
      </c>
      <c r="AJ25" s="5">
        <v>0.47</v>
      </c>
      <c r="AK25" s="5">
        <v>0.08</v>
      </c>
      <c r="AL25" s="4">
        <v>700</v>
      </c>
      <c r="AM25" s="4" t="s">
        <v>296</v>
      </c>
      <c r="AN25" s="4" t="s">
        <v>297</v>
      </c>
      <c r="AO25" s="4" t="s">
        <v>298</v>
      </c>
    </row>
    <row r="26" spans="1:41" ht="75" x14ac:dyDescent="0.25">
      <c r="A26" s="2" t="s">
        <v>275</v>
      </c>
      <c r="B26" s="2" t="s">
        <v>299</v>
      </c>
      <c r="C26" s="2" t="s">
        <v>277</v>
      </c>
      <c r="D26" s="2">
        <v>2018</v>
      </c>
      <c r="E26" s="3">
        <v>43363</v>
      </c>
      <c r="F26" s="3">
        <v>43404</v>
      </c>
      <c r="G26" s="4">
        <f>F26-E26+1</f>
        <v>42</v>
      </c>
      <c r="H26" s="2" t="s">
        <v>278</v>
      </c>
      <c r="I26" s="4" t="s">
        <v>279</v>
      </c>
      <c r="J26" s="2" t="s">
        <v>173</v>
      </c>
      <c r="K26" s="2" t="s">
        <v>280</v>
      </c>
      <c r="L26" s="4" t="s">
        <v>300</v>
      </c>
      <c r="M26" s="4" t="s">
        <v>301</v>
      </c>
      <c r="N26" s="4" t="s">
        <v>302</v>
      </c>
      <c r="O26" s="4">
        <v>18</v>
      </c>
      <c r="P26" s="4"/>
      <c r="Q26" s="4" t="s">
        <v>292</v>
      </c>
      <c r="R26" s="4">
        <v>5</v>
      </c>
      <c r="S26" s="4">
        <v>1</v>
      </c>
      <c r="T26" s="4">
        <v>0</v>
      </c>
      <c r="U26" s="4"/>
      <c r="V26" s="4"/>
      <c r="W26" s="4" t="s">
        <v>303</v>
      </c>
      <c r="X26" s="5"/>
      <c r="Y26" s="5">
        <v>0.57999999999999996</v>
      </c>
      <c r="Z26" s="5"/>
      <c r="AA26" s="5"/>
      <c r="AB26" s="5"/>
      <c r="AC26" s="4" t="s">
        <v>286</v>
      </c>
      <c r="AD26" s="5">
        <v>0.19</v>
      </c>
      <c r="AE26" s="5"/>
      <c r="AF26" s="6" t="str">
        <f t="shared" si="0"/>
        <v/>
      </c>
      <c r="AG26" s="4" t="s">
        <v>294</v>
      </c>
      <c r="AH26" s="11">
        <v>51786</v>
      </c>
      <c r="AI26" s="4" t="s">
        <v>295</v>
      </c>
      <c r="AJ26" s="5">
        <v>0.41</v>
      </c>
      <c r="AK26" s="5">
        <v>0.08</v>
      </c>
      <c r="AL26" s="4">
        <v>700</v>
      </c>
      <c r="AM26" s="4" t="s">
        <v>304</v>
      </c>
      <c r="AN26" s="4" t="s">
        <v>305</v>
      </c>
      <c r="AO26" s="4" t="s">
        <v>306</v>
      </c>
    </row>
    <row r="27" spans="1:41" ht="120" x14ac:dyDescent="0.25">
      <c r="A27" s="2" t="s">
        <v>275</v>
      </c>
      <c r="B27" s="2" t="s">
        <v>307</v>
      </c>
      <c r="C27" s="2" t="s">
        <v>277</v>
      </c>
      <c r="D27" s="2">
        <v>2019</v>
      </c>
      <c r="E27" s="3">
        <v>43727</v>
      </c>
      <c r="F27" s="3">
        <v>43744</v>
      </c>
      <c r="G27" s="4">
        <f>F27-E27+1</f>
        <v>18</v>
      </c>
      <c r="H27" s="2" t="s">
        <v>278</v>
      </c>
      <c r="I27" s="4" t="s">
        <v>279</v>
      </c>
      <c r="J27" s="2" t="s">
        <v>173</v>
      </c>
      <c r="K27" s="2" t="s">
        <v>280</v>
      </c>
      <c r="L27" s="4" t="s">
        <v>281</v>
      </c>
      <c r="M27" s="4" t="s">
        <v>282</v>
      </c>
      <c r="N27" s="4" t="s">
        <v>302</v>
      </c>
      <c r="O27" s="4">
        <v>18</v>
      </c>
      <c r="P27" s="4"/>
      <c r="Q27" s="4" t="s">
        <v>308</v>
      </c>
      <c r="R27" s="4">
        <v>5</v>
      </c>
      <c r="S27" s="4">
        <v>1</v>
      </c>
      <c r="T27" s="4">
        <v>0</v>
      </c>
      <c r="U27" s="4"/>
      <c r="V27" s="4"/>
      <c r="W27" s="4" t="s">
        <v>309</v>
      </c>
      <c r="X27" s="5"/>
      <c r="Y27" s="5">
        <v>0.65</v>
      </c>
      <c r="Z27" s="5"/>
      <c r="AA27" s="5"/>
      <c r="AB27" s="5"/>
      <c r="AC27" s="4" t="s">
        <v>310</v>
      </c>
      <c r="AD27" s="5">
        <v>0.25</v>
      </c>
      <c r="AE27" s="5"/>
      <c r="AF27" s="6" t="str">
        <f t="shared" si="0"/>
        <v/>
      </c>
      <c r="AG27" s="4" t="s">
        <v>294</v>
      </c>
      <c r="AH27" s="11">
        <v>18939</v>
      </c>
      <c r="AI27" s="4" t="s">
        <v>295</v>
      </c>
      <c r="AJ27" s="5"/>
      <c r="AK27" s="5">
        <v>0.09</v>
      </c>
      <c r="AL27" s="4">
        <v>1000</v>
      </c>
      <c r="AM27" s="4" t="s">
        <v>311</v>
      </c>
      <c r="AN27" s="4" t="s">
        <v>312</v>
      </c>
      <c r="AO27" s="4" t="s">
        <v>313</v>
      </c>
    </row>
    <row r="28" spans="1:41" ht="105" x14ac:dyDescent="0.25">
      <c r="A28" s="2" t="s">
        <v>275</v>
      </c>
      <c r="B28" s="2" t="s">
        <v>314</v>
      </c>
      <c r="C28" s="2" t="s">
        <v>315</v>
      </c>
      <c r="D28" s="2">
        <v>2020</v>
      </c>
      <c r="E28" s="3">
        <v>44095</v>
      </c>
      <c r="F28" s="3">
        <v>44122</v>
      </c>
      <c r="G28" s="4">
        <f>F28-E28+1</f>
        <v>28</v>
      </c>
      <c r="H28" s="2" t="s">
        <v>278</v>
      </c>
      <c r="I28" s="4" t="s">
        <v>279</v>
      </c>
      <c r="J28" s="2" t="s">
        <v>173</v>
      </c>
      <c r="K28" s="2" t="s">
        <v>280</v>
      </c>
      <c r="L28" s="4" t="s">
        <v>316</v>
      </c>
      <c r="M28" s="4" t="s">
        <v>282</v>
      </c>
      <c r="N28" s="4" t="s">
        <v>302</v>
      </c>
      <c r="O28" s="4">
        <v>18</v>
      </c>
      <c r="P28" s="4"/>
      <c r="Q28" s="4" t="s">
        <v>317</v>
      </c>
      <c r="R28" s="4">
        <v>6</v>
      </c>
      <c r="S28" s="4">
        <v>1</v>
      </c>
      <c r="T28" s="4">
        <v>0</v>
      </c>
      <c r="U28" s="4"/>
      <c r="V28" s="4"/>
      <c r="W28" s="4" t="s">
        <v>318</v>
      </c>
      <c r="X28" s="5"/>
      <c r="Y28" s="5">
        <v>0.35</v>
      </c>
      <c r="Z28" s="5"/>
      <c r="AA28" s="5"/>
      <c r="AB28" s="5"/>
      <c r="AC28" s="4" t="s">
        <v>319</v>
      </c>
      <c r="AD28" s="5">
        <v>0.123</v>
      </c>
      <c r="AE28" s="5"/>
      <c r="AF28" s="6" t="str">
        <f t="shared" si="0"/>
        <v/>
      </c>
      <c r="AG28" s="4" t="s">
        <v>294</v>
      </c>
      <c r="AH28" s="11">
        <v>27694</v>
      </c>
      <c r="AI28" s="4" t="s">
        <v>295</v>
      </c>
      <c r="AJ28" s="5"/>
      <c r="AK28" s="5">
        <v>0.04</v>
      </c>
      <c r="AL28" s="4">
        <v>1000</v>
      </c>
      <c r="AM28" s="4" t="s">
        <v>320</v>
      </c>
      <c r="AN28" s="4" t="s">
        <v>321</v>
      </c>
      <c r="AO28" s="4" t="s">
        <v>322</v>
      </c>
    </row>
    <row r="29" spans="1:41" ht="105" x14ac:dyDescent="0.25">
      <c r="A29" s="2" t="s">
        <v>323</v>
      </c>
      <c r="B29" s="2" t="s">
        <v>324</v>
      </c>
      <c r="C29" s="2" t="s">
        <v>325</v>
      </c>
      <c r="D29" s="2">
        <v>2012</v>
      </c>
      <c r="E29" s="3">
        <v>40812</v>
      </c>
      <c r="F29" s="3">
        <v>41182</v>
      </c>
      <c r="G29" s="4">
        <f>F29-E29+1</f>
        <v>371</v>
      </c>
      <c r="H29" s="2" t="s">
        <v>326</v>
      </c>
      <c r="I29" s="4" t="s">
        <v>327</v>
      </c>
      <c r="J29" s="2" t="s">
        <v>173</v>
      </c>
      <c r="K29" s="2" t="s">
        <v>328</v>
      </c>
      <c r="L29" s="4" t="s">
        <v>329</v>
      </c>
      <c r="M29" s="4" t="s">
        <v>330</v>
      </c>
      <c r="N29" s="4" t="s">
        <v>331</v>
      </c>
      <c r="O29" s="4">
        <v>19</v>
      </c>
      <c r="P29" s="4"/>
      <c r="Q29" s="4" t="s">
        <v>332</v>
      </c>
      <c r="R29" s="4">
        <v>5</v>
      </c>
      <c r="S29" s="4">
        <v>1</v>
      </c>
      <c r="T29" s="4">
        <v>0</v>
      </c>
      <c r="U29" s="4"/>
      <c r="V29" s="4"/>
      <c r="W29" s="4" t="s">
        <v>333</v>
      </c>
      <c r="X29" s="5"/>
      <c r="Y29" s="5"/>
      <c r="Z29" s="5"/>
      <c r="AA29" s="5"/>
      <c r="AB29" s="5"/>
      <c r="AC29" s="4" t="s">
        <v>334</v>
      </c>
      <c r="AD29" s="5">
        <v>0.438</v>
      </c>
      <c r="AE29" s="5">
        <v>0.38100000000000001</v>
      </c>
      <c r="AF29" s="6">
        <f t="shared" si="0"/>
        <v>5.6999999999999993</v>
      </c>
      <c r="AG29" s="4"/>
      <c r="AH29" s="11"/>
      <c r="AI29" s="4"/>
      <c r="AJ29" s="5"/>
      <c r="AK29" s="5"/>
      <c r="AL29" s="4">
        <v>766</v>
      </c>
      <c r="AM29" s="4" t="s">
        <v>335</v>
      </c>
      <c r="AN29" s="4" t="s">
        <v>336</v>
      </c>
      <c r="AO29" s="4" t="s">
        <v>337</v>
      </c>
    </row>
    <row r="30" spans="1:41" ht="120" x14ac:dyDescent="0.25">
      <c r="A30" s="2" t="s">
        <v>338</v>
      </c>
      <c r="B30" s="2" t="s">
        <v>339</v>
      </c>
      <c r="C30" s="2" t="s">
        <v>340</v>
      </c>
      <c r="D30" s="2">
        <v>2009</v>
      </c>
      <c r="E30" s="3"/>
      <c r="F30" s="3"/>
      <c r="G30" s="4"/>
      <c r="H30" s="2" t="s">
        <v>341</v>
      </c>
      <c r="I30" s="4" t="s">
        <v>342</v>
      </c>
      <c r="J30" s="2" t="s">
        <v>84</v>
      </c>
      <c r="K30" s="2" t="s">
        <v>343</v>
      </c>
      <c r="L30" s="4" t="s">
        <v>344</v>
      </c>
      <c r="M30" s="4" t="s">
        <v>345</v>
      </c>
      <c r="N30" s="4" t="s">
        <v>346</v>
      </c>
      <c r="O30" s="4"/>
      <c r="P30" s="4"/>
      <c r="Q30" s="4" t="s">
        <v>347</v>
      </c>
      <c r="R30" s="4">
        <v>4</v>
      </c>
      <c r="S30" s="4">
        <v>0</v>
      </c>
      <c r="T30" s="4">
        <v>0</v>
      </c>
      <c r="U30" s="4"/>
      <c r="V30" s="4"/>
      <c r="W30" s="4" t="s">
        <v>348</v>
      </c>
      <c r="X30" s="5"/>
      <c r="Y30" s="5"/>
      <c r="Z30" s="5"/>
      <c r="AA30" s="5"/>
      <c r="AB30" s="5"/>
      <c r="AC30" s="4" t="s">
        <v>349</v>
      </c>
      <c r="AD30" s="5">
        <v>0.73</v>
      </c>
      <c r="AE30" s="5">
        <v>0.56999999999999995</v>
      </c>
      <c r="AF30" s="6">
        <f t="shared" si="0"/>
        <v>16.000000000000004</v>
      </c>
      <c r="AG30" s="4"/>
      <c r="AH30" s="11"/>
      <c r="AI30" s="4"/>
      <c r="AJ30" s="5"/>
      <c r="AK30" s="5"/>
      <c r="AL30" s="4"/>
      <c r="AM30" s="4" t="s">
        <v>350</v>
      </c>
      <c r="AN30" s="4" t="s">
        <v>351</v>
      </c>
      <c r="AO30" s="4" t="s">
        <v>352</v>
      </c>
    </row>
    <row r="31" spans="1:41" ht="75" x14ac:dyDescent="0.25">
      <c r="A31" s="2" t="s">
        <v>353</v>
      </c>
      <c r="B31" s="2" t="s">
        <v>354</v>
      </c>
      <c r="C31" s="2" t="s">
        <v>355</v>
      </c>
      <c r="D31" s="2">
        <v>2012</v>
      </c>
      <c r="E31" s="3"/>
      <c r="F31" s="3"/>
      <c r="G31" s="4"/>
      <c r="H31" s="2" t="s">
        <v>356</v>
      </c>
      <c r="I31" s="4" t="s">
        <v>357</v>
      </c>
      <c r="J31" s="2" t="s">
        <v>156</v>
      </c>
      <c r="K31" s="2" t="s">
        <v>358</v>
      </c>
      <c r="L31" s="4" t="s">
        <v>359</v>
      </c>
      <c r="M31" s="4" t="s">
        <v>360</v>
      </c>
      <c r="N31" s="4" t="s">
        <v>361</v>
      </c>
      <c r="O31" s="4"/>
      <c r="P31" s="4"/>
      <c r="Q31" s="4" t="s">
        <v>362</v>
      </c>
      <c r="R31" s="4">
        <v>7</v>
      </c>
      <c r="S31" s="4">
        <v>1</v>
      </c>
      <c r="T31" s="4">
        <v>0</v>
      </c>
      <c r="U31" s="4"/>
      <c r="V31" s="4"/>
      <c r="W31" s="4" t="s">
        <v>363</v>
      </c>
      <c r="X31" s="5"/>
      <c r="Y31" s="5"/>
      <c r="Z31" s="5"/>
      <c r="AA31" s="5"/>
      <c r="AB31" s="5"/>
      <c r="AC31" s="4"/>
      <c r="AD31" s="5"/>
      <c r="AE31" s="5"/>
      <c r="AF31" s="6" t="str">
        <f t="shared" si="0"/>
        <v/>
      </c>
      <c r="AG31" s="4" t="s">
        <v>364</v>
      </c>
      <c r="AH31" s="11">
        <v>13421</v>
      </c>
      <c r="AI31" s="4" t="s">
        <v>365</v>
      </c>
      <c r="AJ31" s="5">
        <v>0.13</v>
      </c>
      <c r="AK31" s="5"/>
      <c r="AL31" s="4"/>
      <c r="AM31" s="4" t="s">
        <v>366</v>
      </c>
      <c r="AN31" s="4" t="s">
        <v>367</v>
      </c>
      <c r="AO31" s="4" t="s">
        <v>368</v>
      </c>
    </row>
  </sheetData>
  <autoFilter ref="A1:AO31" xr:uid="{00000000-0009-0000-0000-000000000000}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2"/>
  <sheetViews>
    <sheetView showGridLines="0" workbookViewId="0">
      <pane ySplit="1" topLeftCell="A186" activePane="bottomLeft" state="frozen"/>
      <selection pane="bottomLeft"/>
    </sheetView>
  </sheetViews>
  <sheetFormatPr baseColWidth="10" defaultColWidth="9.140625" defaultRowHeight="15" x14ac:dyDescent="0.25"/>
  <cols>
    <col min="1" max="4" width="18" customWidth="1"/>
    <col min="5" max="5" width="32" customWidth="1"/>
    <col min="6" max="7" width="18" customWidth="1"/>
    <col min="8" max="9" width="32" customWidth="1"/>
    <col min="10" max="10" width="18" customWidth="1"/>
    <col min="11" max="11" width="32" customWidth="1"/>
    <col min="12" max="12" width="18" customWidth="1"/>
    <col min="13" max="13" width="32" customWidth="1"/>
  </cols>
  <sheetData>
    <row r="1" spans="1:13" ht="33.950000000000003" customHeight="1" x14ac:dyDescent="0.25">
      <c r="A1" s="1" t="s">
        <v>0</v>
      </c>
      <c r="B1" s="1" t="s">
        <v>1</v>
      </c>
      <c r="C1" s="1" t="s">
        <v>3</v>
      </c>
      <c r="D1" s="1" t="s">
        <v>369</v>
      </c>
      <c r="E1" s="1" t="s">
        <v>370</v>
      </c>
      <c r="F1" s="1" t="s">
        <v>371</v>
      </c>
      <c r="G1" s="1" t="s">
        <v>372</v>
      </c>
      <c r="H1" s="1" t="s">
        <v>373</v>
      </c>
      <c r="I1" s="1" t="s">
        <v>374</v>
      </c>
      <c r="J1" s="1" t="s">
        <v>375</v>
      </c>
      <c r="K1" s="1" t="s">
        <v>39</v>
      </c>
      <c r="L1" s="1" t="s">
        <v>376</v>
      </c>
      <c r="M1" s="1" t="s">
        <v>377</v>
      </c>
    </row>
    <row r="2" spans="1:13" ht="30" x14ac:dyDescent="0.25">
      <c r="A2" s="9" t="s">
        <v>41</v>
      </c>
      <c r="B2" s="9" t="s">
        <v>42</v>
      </c>
      <c r="C2" s="9">
        <v>2021</v>
      </c>
      <c r="D2" s="9" t="s">
        <v>378</v>
      </c>
      <c r="E2" s="9" t="s">
        <v>379</v>
      </c>
      <c r="F2" s="9">
        <v>35</v>
      </c>
      <c r="G2" s="9" t="s">
        <v>380</v>
      </c>
      <c r="H2" s="9" t="s">
        <v>381</v>
      </c>
      <c r="I2" s="9"/>
      <c r="J2" s="9"/>
      <c r="K2" s="9" t="s">
        <v>56</v>
      </c>
      <c r="L2" s="9" t="s">
        <v>382</v>
      </c>
      <c r="M2" s="9"/>
    </row>
    <row r="3" spans="1:13" ht="30" x14ac:dyDescent="0.25">
      <c r="A3" s="9" t="s">
        <v>41</v>
      </c>
      <c r="B3" s="9" t="s">
        <v>42</v>
      </c>
      <c r="C3" s="9">
        <v>2021</v>
      </c>
      <c r="D3" s="9" t="s">
        <v>378</v>
      </c>
      <c r="E3" s="9" t="s">
        <v>383</v>
      </c>
      <c r="F3" s="9">
        <v>39</v>
      </c>
      <c r="G3" s="9" t="s">
        <v>380</v>
      </c>
      <c r="H3" s="9" t="s">
        <v>381</v>
      </c>
      <c r="I3" s="9"/>
      <c r="J3" s="9"/>
      <c r="K3" s="9" t="s">
        <v>56</v>
      </c>
      <c r="L3" s="9" t="s">
        <v>382</v>
      </c>
      <c r="M3" s="9"/>
    </row>
    <row r="4" spans="1:13" ht="30" x14ac:dyDescent="0.25">
      <c r="A4" s="9" t="s">
        <v>41</v>
      </c>
      <c r="B4" s="9" t="s">
        <v>42</v>
      </c>
      <c r="C4" s="9">
        <v>2021</v>
      </c>
      <c r="D4" s="9" t="s">
        <v>384</v>
      </c>
      <c r="E4" s="9" t="s">
        <v>385</v>
      </c>
      <c r="F4" s="9">
        <v>94</v>
      </c>
      <c r="G4" s="9" t="s">
        <v>380</v>
      </c>
      <c r="H4" s="9" t="s">
        <v>386</v>
      </c>
      <c r="I4" s="9"/>
      <c r="J4" s="9"/>
      <c r="K4" s="9" t="s">
        <v>56</v>
      </c>
      <c r="L4" s="9" t="s">
        <v>387</v>
      </c>
      <c r="M4" s="9"/>
    </row>
    <row r="5" spans="1:13" ht="30" x14ac:dyDescent="0.25">
      <c r="A5" s="9" t="s">
        <v>41</v>
      </c>
      <c r="B5" s="9" t="s">
        <v>42</v>
      </c>
      <c r="C5" s="9">
        <v>2021</v>
      </c>
      <c r="D5" s="9" t="s">
        <v>388</v>
      </c>
      <c r="E5" s="9" t="s">
        <v>389</v>
      </c>
      <c r="F5" s="9">
        <v>41</v>
      </c>
      <c r="G5" s="9" t="s">
        <v>380</v>
      </c>
      <c r="H5" s="9" t="s">
        <v>386</v>
      </c>
      <c r="I5" s="9"/>
      <c r="J5" s="9"/>
      <c r="K5" s="9" t="s">
        <v>56</v>
      </c>
      <c r="L5" s="9" t="s">
        <v>387</v>
      </c>
      <c r="M5" s="9"/>
    </row>
    <row r="6" spans="1:13" ht="30" x14ac:dyDescent="0.25">
      <c r="A6" s="9" t="s">
        <v>41</v>
      </c>
      <c r="B6" s="9" t="s">
        <v>42</v>
      </c>
      <c r="C6" s="9">
        <v>2021</v>
      </c>
      <c r="D6" s="9" t="s">
        <v>390</v>
      </c>
      <c r="E6" s="9" t="s">
        <v>391</v>
      </c>
      <c r="F6" s="9">
        <v>54</v>
      </c>
      <c r="G6" s="9" t="s">
        <v>380</v>
      </c>
      <c r="H6" s="9" t="s">
        <v>392</v>
      </c>
      <c r="I6" s="9" t="s">
        <v>393</v>
      </c>
      <c r="J6" s="9" t="s">
        <v>394</v>
      </c>
      <c r="K6" s="9" t="s">
        <v>56</v>
      </c>
      <c r="L6" s="9" t="s">
        <v>387</v>
      </c>
      <c r="M6" s="9"/>
    </row>
    <row r="7" spans="1:13" ht="30" x14ac:dyDescent="0.25">
      <c r="A7" s="9" t="s">
        <v>41</v>
      </c>
      <c r="B7" s="9" t="s">
        <v>42</v>
      </c>
      <c r="C7" s="9">
        <v>2021</v>
      </c>
      <c r="D7" s="9" t="s">
        <v>395</v>
      </c>
      <c r="E7" s="9" t="s">
        <v>396</v>
      </c>
      <c r="F7" s="9">
        <v>6.2</v>
      </c>
      <c r="G7" s="9" t="s">
        <v>380</v>
      </c>
      <c r="H7" s="9" t="s">
        <v>397</v>
      </c>
      <c r="I7" s="9" t="s">
        <v>398</v>
      </c>
      <c r="J7" s="9" t="s">
        <v>394</v>
      </c>
      <c r="K7" s="9" t="s">
        <v>56</v>
      </c>
      <c r="L7" s="9" t="s">
        <v>387</v>
      </c>
      <c r="M7" s="9"/>
    </row>
    <row r="8" spans="1:13" ht="30" x14ac:dyDescent="0.25">
      <c r="A8" s="9" t="s">
        <v>41</v>
      </c>
      <c r="B8" s="9" t="s">
        <v>42</v>
      </c>
      <c r="C8" s="9">
        <v>2021</v>
      </c>
      <c r="D8" s="9" t="s">
        <v>399</v>
      </c>
      <c r="E8" s="9" t="s">
        <v>400</v>
      </c>
      <c r="F8" s="9">
        <v>67</v>
      </c>
      <c r="G8" s="9" t="s">
        <v>401</v>
      </c>
      <c r="H8" s="9" t="s">
        <v>402</v>
      </c>
      <c r="I8" s="9"/>
      <c r="J8" s="9"/>
      <c r="K8" s="9" t="s">
        <v>56</v>
      </c>
      <c r="L8" s="9" t="s">
        <v>387</v>
      </c>
      <c r="M8" s="9"/>
    </row>
    <row r="9" spans="1:13" ht="30" x14ac:dyDescent="0.25">
      <c r="A9" s="9" t="s">
        <v>41</v>
      </c>
      <c r="B9" s="9" t="s">
        <v>42</v>
      </c>
      <c r="C9" s="9">
        <v>2021</v>
      </c>
      <c r="D9" s="9" t="s">
        <v>399</v>
      </c>
      <c r="E9" s="9" t="s">
        <v>403</v>
      </c>
      <c r="F9" s="9">
        <v>116</v>
      </c>
      <c r="G9" s="9" t="s">
        <v>401</v>
      </c>
      <c r="H9" s="9" t="s">
        <v>402</v>
      </c>
      <c r="I9" s="9"/>
      <c r="J9" s="9"/>
      <c r="K9" s="9" t="s">
        <v>56</v>
      </c>
      <c r="L9" s="9" t="s">
        <v>387</v>
      </c>
      <c r="M9" s="9"/>
    </row>
    <row r="10" spans="1:13" ht="30" x14ac:dyDescent="0.25">
      <c r="A10" s="9" t="s">
        <v>41</v>
      </c>
      <c r="B10" s="9" t="s">
        <v>42</v>
      </c>
      <c r="C10" s="9">
        <v>2021</v>
      </c>
      <c r="D10" s="9" t="s">
        <v>399</v>
      </c>
      <c r="E10" s="9" t="s">
        <v>404</v>
      </c>
      <c r="F10" s="9">
        <v>124</v>
      </c>
      <c r="G10" s="9" t="s">
        <v>401</v>
      </c>
      <c r="H10" s="9" t="s">
        <v>402</v>
      </c>
      <c r="I10" s="9"/>
      <c r="J10" s="9"/>
      <c r="K10" s="9" t="s">
        <v>56</v>
      </c>
      <c r="L10" s="9" t="s">
        <v>387</v>
      </c>
      <c r="M10" s="9"/>
    </row>
    <row r="11" spans="1:13" ht="30" x14ac:dyDescent="0.25">
      <c r="A11" s="9" t="s">
        <v>41</v>
      </c>
      <c r="B11" s="9" t="s">
        <v>58</v>
      </c>
      <c r="C11" s="9">
        <v>2022</v>
      </c>
      <c r="D11" s="9" t="s">
        <v>378</v>
      </c>
      <c r="E11" s="9" t="s">
        <v>383</v>
      </c>
      <c r="F11" s="9">
        <v>53</v>
      </c>
      <c r="G11" s="9" t="s">
        <v>380</v>
      </c>
      <c r="H11" s="9" t="s">
        <v>381</v>
      </c>
      <c r="I11" s="9" t="s">
        <v>405</v>
      </c>
      <c r="J11" s="9"/>
      <c r="K11" s="9" t="s">
        <v>64</v>
      </c>
      <c r="L11" s="9" t="s">
        <v>387</v>
      </c>
      <c r="M11" s="9"/>
    </row>
    <row r="12" spans="1:13" ht="30" x14ac:dyDescent="0.25">
      <c r="A12" s="9" t="s">
        <v>41</v>
      </c>
      <c r="B12" s="9" t="s">
        <v>58</v>
      </c>
      <c r="C12" s="9">
        <v>2022</v>
      </c>
      <c r="D12" s="9" t="s">
        <v>378</v>
      </c>
      <c r="E12" s="9" t="s">
        <v>406</v>
      </c>
      <c r="F12" s="9">
        <v>42</v>
      </c>
      <c r="G12" s="9" t="s">
        <v>380</v>
      </c>
      <c r="H12" s="9" t="s">
        <v>381</v>
      </c>
      <c r="I12" s="9"/>
      <c r="J12" s="9"/>
      <c r="K12" s="9" t="s">
        <v>64</v>
      </c>
      <c r="L12" s="9" t="s">
        <v>387</v>
      </c>
      <c r="M12" s="9"/>
    </row>
    <row r="13" spans="1:13" ht="30" x14ac:dyDescent="0.25">
      <c r="A13" s="9" t="s">
        <v>41</v>
      </c>
      <c r="B13" s="9" t="s">
        <v>58</v>
      </c>
      <c r="C13" s="9">
        <v>2022</v>
      </c>
      <c r="D13" s="9" t="s">
        <v>378</v>
      </c>
      <c r="E13" s="9" t="s">
        <v>407</v>
      </c>
      <c r="F13" s="9">
        <v>39</v>
      </c>
      <c r="G13" s="9" t="s">
        <v>380</v>
      </c>
      <c r="H13" s="9" t="s">
        <v>381</v>
      </c>
      <c r="I13" s="9"/>
      <c r="J13" s="9"/>
      <c r="K13" s="9" t="s">
        <v>64</v>
      </c>
      <c r="L13" s="9" t="s">
        <v>387</v>
      </c>
      <c r="M13" s="9"/>
    </row>
    <row r="14" spans="1:13" ht="30" x14ac:dyDescent="0.25">
      <c r="A14" s="9" t="s">
        <v>41</v>
      </c>
      <c r="B14" s="9" t="s">
        <v>58</v>
      </c>
      <c r="C14" s="9">
        <v>2022</v>
      </c>
      <c r="D14" s="9" t="s">
        <v>384</v>
      </c>
      <c r="E14" s="9" t="s">
        <v>385</v>
      </c>
      <c r="F14" s="9">
        <v>93</v>
      </c>
      <c r="G14" s="9" t="s">
        <v>380</v>
      </c>
      <c r="H14" s="9" t="s">
        <v>397</v>
      </c>
      <c r="I14" s="9"/>
      <c r="J14" s="9"/>
      <c r="K14" s="9" t="s">
        <v>64</v>
      </c>
      <c r="L14" s="9" t="s">
        <v>387</v>
      </c>
      <c r="M14" s="9"/>
    </row>
    <row r="15" spans="1:13" ht="30" x14ac:dyDescent="0.25">
      <c r="A15" s="9" t="s">
        <v>41</v>
      </c>
      <c r="B15" s="9" t="s">
        <v>58</v>
      </c>
      <c r="C15" s="9">
        <v>2022</v>
      </c>
      <c r="D15" s="9" t="s">
        <v>408</v>
      </c>
      <c r="E15" s="9" t="s">
        <v>409</v>
      </c>
      <c r="F15" s="9">
        <v>95</v>
      </c>
      <c r="G15" s="9" t="s">
        <v>380</v>
      </c>
      <c r="H15" s="9" t="s">
        <v>397</v>
      </c>
      <c r="I15" s="9"/>
      <c r="J15" s="9"/>
      <c r="K15" s="9" t="s">
        <v>64</v>
      </c>
      <c r="L15" s="9" t="s">
        <v>387</v>
      </c>
      <c r="M15" s="9"/>
    </row>
    <row r="16" spans="1:13" ht="30" x14ac:dyDescent="0.25">
      <c r="A16" s="9" t="s">
        <v>41</v>
      </c>
      <c r="B16" s="9" t="s">
        <v>58</v>
      </c>
      <c r="C16" s="9">
        <v>2022</v>
      </c>
      <c r="D16" s="9" t="s">
        <v>388</v>
      </c>
      <c r="E16" s="9" t="s">
        <v>389</v>
      </c>
      <c r="F16" s="9">
        <v>41</v>
      </c>
      <c r="G16" s="9" t="s">
        <v>380</v>
      </c>
      <c r="H16" s="9" t="s">
        <v>397</v>
      </c>
      <c r="I16" s="9"/>
      <c r="J16" s="9"/>
      <c r="K16" s="9" t="s">
        <v>64</v>
      </c>
      <c r="L16" s="9" t="s">
        <v>387</v>
      </c>
      <c r="M16" s="9"/>
    </row>
    <row r="17" spans="1:13" ht="30" x14ac:dyDescent="0.25">
      <c r="A17" s="9" t="s">
        <v>41</v>
      </c>
      <c r="B17" s="9" t="s">
        <v>58</v>
      </c>
      <c r="C17" s="9">
        <v>2022</v>
      </c>
      <c r="D17" s="9" t="s">
        <v>399</v>
      </c>
      <c r="E17" s="9" t="s">
        <v>400</v>
      </c>
      <c r="F17" s="9">
        <v>54</v>
      </c>
      <c r="G17" s="9" t="s">
        <v>401</v>
      </c>
      <c r="H17" s="9" t="s">
        <v>402</v>
      </c>
      <c r="I17" s="9"/>
      <c r="J17" s="9"/>
      <c r="K17" s="9" t="s">
        <v>64</v>
      </c>
      <c r="L17" s="9" t="s">
        <v>387</v>
      </c>
      <c r="M17" s="9"/>
    </row>
    <row r="18" spans="1:13" ht="30" x14ac:dyDescent="0.25">
      <c r="A18" s="9" t="s">
        <v>41</v>
      </c>
      <c r="B18" s="9" t="s">
        <v>58</v>
      </c>
      <c r="C18" s="9">
        <v>2022</v>
      </c>
      <c r="D18" s="9" t="s">
        <v>399</v>
      </c>
      <c r="E18" s="9" t="s">
        <v>410</v>
      </c>
      <c r="F18" s="9">
        <v>48</v>
      </c>
      <c r="G18" s="9" t="s">
        <v>401</v>
      </c>
      <c r="H18" s="9" t="s">
        <v>402</v>
      </c>
      <c r="I18" s="9"/>
      <c r="J18" s="9"/>
      <c r="K18" s="9" t="s">
        <v>64</v>
      </c>
      <c r="L18" s="9" t="s">
        <v>387</v>
      </c>
      <c r="M18" s="9"/>
    </row>
    <row r="19" spans="1:13" ht="30" x14ac:dyDescent="0.25">
      <c r="A19" s="9" t="s">
        <v>41</v>
      </c>
      <c r="B19" s="9" t="s">
        <v>58</v>
      </c>
      <c r="C19" s="9">
        <v>2022</v>
      </c>
      <c r="D19" s="9" t="s">
        <v>399</v>
      </c>
      <c r="E19" s="9" t="s">
        <v>411</v>
      </c>
      <c r="F19" s="9">
        <v>29</v>
      </c>
      <c r="G19" s="9" t="s">
        <v>401</v>
      </c>
      <c r="H19" s="9" t="s">
        <v>402</v>
      </c>
      <c r="I19" s="9"/>
      <c r="J19" s="9"/>
      <c r="K19" s="9" t="s">
        <v>64</v>
      </c>
      <c r="L19" s="9" t="s">
        <v>387</v>
      </c>
      <c r="M19" s="9"/>
    </row>
    <row r="20" spans="1:13" ht="30" x14ac:dyDescent="0.25">
      <c r="A20" s="9" t="s">
        <v>41</v>
      </c>
      <c r="B20" s="9" t="s">
        <v>58</v>
      </c>
      <c r="C20" s="9">
        <v>2022</v>
      </c>
      <c r="D20" s="9" t="s">
        <v>390</v>
      </c>
      <c r="E20" s="9" t="s">
        <v>412</v>
      </c>
      <c r="F20" s="9">
        <v>55</v>
      </c>
      <c r="G20" s="9" t="s">
        <v>380</v>
      </c>
      <c r="H20" s="9" t="s">
        <v>413</v>
      </c>
      <c r="I20" s="9" t="s">
        <v>414</v>
      </c>
      <c r="J20" s="9" t="s">
        <v>415</v>
      </c>
      <c r="K20" s="9" t="s">
        <v>64</v>
      </c>
      <c r="L20" s="9" t="s">
        <v>416</v>
      </c>
      <c r="M20" s="9"/>
    </row>
    <row r="21" spans="1:13" ht="30" x14ac:dyDescent="0.25">
      <c r="A21" s="9" t="s">
        <v>66</v>
      </c>
      <c r="B21" s="9" t="s">
        <v>67</v>
      </c>
      <c r="C21" s="9">
        <v>2021</v>
      </c>
      <c r="D21" s="9" t="s">
        <v>378</v>
      </c>
      <c r="E21" s="9" t="s">
        <v>383</v>
      </c>
      <c r="F21" s="9">
        <v>69</v>
      </c>
      <c r="G21" s="9" t="s">
        <v>380</v>
      </c>
      <c r="H21" s="9" t="s">
        <v>417</v>
      </c>
      <c r="I21" s="9"/>
      <c r="J21" s="9"/>
      <c r="K21" s="9" t="s">
        <v>78</v>
      </c>
      <c r="L21" s="9" t="s">
        <v>387</v>
      </c>
      <c r="M21" s="9"/>
    </row>
    <row r="22" spans="1:13" ht="30" x14ac:dyDescent="0.25">
      <c r="A22" s="9" t="s">
        <v>66</v>
      </c>
      <c r="B22" s="9" t="s">
        <v>67</v>
      </c>
      <c r="C22" s="9">
        <v>2021</v>
      </c>
      <c r="D22" s="9" t="s">
        <v>384</v>
      </c>
      <c r="E22" s="9" t="s">
        <v>385</v>
      </c>
      <c r="F22" s="9">
        <v>88</v>
      </c>
      <c r="G22" s="9" t="s">
        <v>380</v>
      </c>
      <c r="H22" s="9" t="s">
        <v>397</v>
      </c>
      <c r="I22" s="9"/>
      <c r="J22" s="9"/>
      <c r="K22" s="9" t="s">
        <v>78</v>
      </c>
      <c r="L22" s="9" t="s">
        <v>387</v>
      </c>
      <c r="M22" s="9"/>
    </row>
    <row r="23" spans="1:13" ht="30" x14ac:dyDescent="0.25">
      <c r="A23" s="9" t="s">
        <v>66</v>
      </c>
      <c r="B23" s="9" t="s">
        <v>67</v>
      </c>
      <c r="C23" s="9">
        <v>2021</v>
      </c>
      <c r="D23" s="9" t="s">
        <v>388</v>
      </c>
      <c r="E23" s="9" t="s">
        <v>418</v>
      </c>
      <c r="F23" s="9">
        <v>45</v>
      </c>
      <c r="G23" s="9" t="s">
        <v>380</v>
      </c>
      <c r="H23" s="9" t="s">
        <v>397</v>
      </c>
      <c r="I23" s="9"/>
      <c r="J23" s="9"/>
      <c r="K23" s="9" t="s">
        <v>78</v>
      </c>
      <c r="L23" s="9" t="s">
        <v>387</v>
      </c>
      <c r="M23" s="9"/>
    </row>
    <row r="24" spans="1:13" ht="30" x14ac:dyDescent="0.25">
      <c r="A24" s="9" t="s">
        <v>66</v>
      </c>
      <c r="B24" s="9" t="s">
        <v>67</v>
      </c>
      <c r="C24" s="9">
        <v>2021</v>
      </c>
      <c r="D24" s="9" t="s">
        <v>399</v>
      </c>
      <c r="E24" s="9" t="s">
        <v>76</v>
      </c>
      <c r="F24" s="9">
        <v>144</v>
      </c>
      <c r="G24" s="9" t="s">
        <v>401</v>
      </c>
      <c r="H24" s="9" t="s">
        <v>402</v>
      </c>
      <c r="I24" s="9"/>
      <c r="J24" s="9"/>
      <c r="K24" s="9" t="s">
        <v>78</v>
      </c>
      <c r="L24" s="9" t="s">
        <v>387</v>
      </c>
      <c r="M24" s="9"/>
    </row>
    <row r="25" spans="1:13" ht="30" x14ac:dyDescent="0.25">
      <c r="A25" s="9" t="s">
        <v>66</v>
      </c>
      <c r="B25" s="9" t="s">
        <v>67</v>
      </c>
      <c r="C25" s="9">
        <v>2021</v>
      </c>
      <c r="D25" s="9" t="s">
        <v>399</v>
      </c>
      <c r="E25" s="9" t="s">
        <v>419</v>
      </c>
      <c r="F25" s="9">
        <v>96</v>
      </c>
      <c r="G25" s="9" t="s">
        <v>401</v>
      </c>
      <c r="H25" s="9" t="s">
        <v>402</v>
      </c>
      <c r="I25" s="9"/>
      <c r="J25" s="9"/>
      <c r="K25" s="9" t="s">
        <v>78</v>
      </c>
      <c r="L25" s="9" t="s">
        <v>387</v>
      </c>
      <c r="M25" s="9"/>
    </row>
    <row r="26" spans="1:13" ht="30" x14ac:dyDescent="0.25">
      <c r="A26" s="9" t="s">
        <v>66</v>
      </c>
      <c r="B26" s="9" t="s">
        <v>67</v>
      </c>
      <c r="C26" s="9">
        <v>2021</v>
      </c>
      <c r="D26" s="9" t="s">
        <v>390</v>
      </c>
      <c r="E26" s="9" t="s">
        <v>420</v>
      </c>
      <c r="F26" s="9">
        <v>11.8</v>
      </c>
      <c r="G26" s="9" t="s">
        <v>380</v>
      </c>
      <c r="H26" s="9" t="s">
        <v>421</v>
      </c>
      <c r="I26" s="9" t="s">
        <v>422</v>
      </c>
      <c r="J26" s="9" t="s">
        <v>394</v>
      </c>
      <c r="K26" s="9" t="s">
        <v>78</v>
      </c>
      <c r="L26" s="9" t="s">
        <v>387</v>
      </c>
      <c r="M26" s="9"/>
    </row>
    <row r="27" spans="1:13" ht="30" x14ac:dyDescent="0.25">
      <c r="A27" s="9" t="s">
        <v>66</v>
      </c>
      <c r="B27" s="9" t="s">
        <v>67</v>
      </c>
      <c r="C27" s="9">
        <v>2021</v>
      </c>
      <c r="D27" s="9" t="s">
        <v>395</v>
      </c>
      <c r="E27" s="9" t="s">
        <v>423</v>
      </c>
      <c r="F27" s="9">
        <v>11.8</v>
      </c>
      <c r="G27" s="9" t="s">
        <v>380</v>
      </c>
      <c r="H27" s="9" t="s">
        <v>421</v>
      </c>
      <c r="I27" s="9" t="s">
        <v>424</v>
      </c>
      <c r="J27" s="9" t="s">
        <v>394</v>
      </c>
      <c r="K27" s="9" t="s">
        <v>78</v>
      </c>
      <c r="L27" s="9" t="s">
        <v>387</v>
      </c>
      <c r="M27" s="9"/>
    </row>
    <row r="28" spans="1:13" ht="30" x14ac:dyDescent="0.25">
      <c r="A28" s="9" t="s">
        <v>80</v>
      </c>
      <c r="B28" s="9" t="s">
        <v>81</v>
      </c>
      <c r="C28" s="9">
        <v>2025</v>
      </c>
      <c r="D28" s="9" t="s">
        <v>378</v>
      </c>
      <c r="E28" s="9" t="s">
        <v>425</v>
      </c>
      <c r="F28" s="9">
        <v>6</v>
      </c>
      <c r="G28" s="9" t="s">
        <v>380</v>
      </c>
      <c r="H28" s="9" t="s">
        <v>426</v>
      </c>
      <c r="I28" s="9"/>
      <c r="J28" s="9"/>
      <c r="K28" s="9" t="s">
        <v>93</v>
      </c>
      <c r="L28" s="9" t="s">
        <v>382</v>
      </c>
      <c r="M28" s="9"/>
    </row>
    <row r="29" spans="1:13" x14ac:dyDescent="0.25">
      <c r="A29" s="9" t="s">
        <v>80</v>
      </c>
      <c r="B29" s="9" t="s">
        <v>81</v>
      </c>
      <c r="C29" s="9">
        <v>2025</v>
      </c>
      <c r="D29" s="9" t="s">
        <v>378</v>
      </c>
      <c r="E29" s="9" t="s">
        <v>383</v>
      </c>
      <c r="F29" s="9">
        <v>65</v>
      </c>
      <c r="G29" s="9" t="s">
        <v>380</v>
      </c>
      <c r="H29" s="9" t="s">
        <v>426</v>
      </c>
      <c r="I29" s="9"/>
      <c r="J29" s="9"/>
      <c r="K29" s="9" t="s">
        <v>93</v>
      </c>
      <c r="L29" s="9" t="s">
        <v>382</v>
      </c>
      <c r="M29" s="9"/>
    </row>
    <row r="30" spans="1:13" x14ac:dyDescent="0.25">
      <c r="A30" s="9" t="s">
        <v>80</v>
      </c>
      <c r="B30" s="9" t="s">
        <v>81</v>
      </c>
      <c r="C30" s="9">
        <v>2025</v>
      </c>
      <c r="D30" s="9" t="s">
        <v>378</v>
      </c>
      <c r="E30" s="9" t="s">
        <v>427</v>
      </c>
      <c r="F30" s="9">
        <v>51</v>
      </c>
      <c r="G30" s="9" t="s">
        <v>380</v>
      </c>
      <c r="H30" s="9" t="s">
        <v>426</v>
      </c>
      <c r="I30" s="9"/>
      <c r="J30" s="9"/>
      <c r="K30" s="9" t="s">
        <v>93</v>
      </c>
      <c r="L30" s="9" t="s">
        <v>382</v>
      </c>
      <c r="M30" s="9"/>
    </row>
    <row r="31" spans="1:13" ht="30" x14ac:dyDescent="0.25">
      <c r="A31" s="9" t="s">
        <v>80</v>
      </c>
      <c r="B31" s="9" t="s">
        <v>81</v>
      </c>
      <c r="C31" s="9">
        <v>2025</v>
      </c>
      <c r="D31" s="9" t="s">
        <v>378</v>
      </c>
      <c r="E31" s="9" t="s">
        <v>428</v>
      </c>
      <c r="F31" s="9">
        <v>22</v>
      </c>
      <c r="G31" s="9" t="s">
        <v>380</v>
      </c>
      <c r="H31" s="9" t="s">
        <v>426</v>
      </c>
      <c r="I31" s="9"/>
      <c r="J31" s="9"/>
      <c r="K31" s="9" t="s">
        <v>93</v>
      </c>
      <c r="L31" s="9" t="s">
        <v>382</v>
      </c>
      <c r="M31" s="9"/>
    </row>
    <row r="32" spans="1:13" x14ac:dyDescent="0.25">
      <c r="A32" s="9" t="s">
        <v>80</v>
      </c>
      <c r="B32" s="9" t="s">
        <v>81</v>
      </c>
      <c r="C32" s="9">
        <v>2025</v>
      </c>
      <c r="D32" s="9" t="s">
        <v>384</v>
      </c>
      <c r="E32" s="9" t="s">
        <v>429</v>
      </c>
      <c r="F32" s="9">
        <v>94</v>
      </c>
      <c r="G32" s="9" t="s">
        <v>380</v>
      </c>
      <c r="H32" s="9" t="s">
        <v>397</v>
      </c>
      <c r="I32" s="9"/>
      <c r="J32" s="9"/>
      <c r="K32" s="9" t="s">
        <v>93</v>
      </c>
      <c r="L32" s="9" t="s">
        <v>430</v>
      </c>
      <c r="M32" s="9"/>
    </row>
    <row r="33" spans="1:13" x14ac:dyDescent="0.25">
      <c r="A33" s="9" t="s">
        <v>80</v>
      </c>
      <c r="B33" s="9" t="s">
        <v>81</v>
      </c>
      <c r="C33" s="9">
        <v>2025</v>
      </c>
      <c r="D33" s="9" t="s">
        <v>384</v>
      </c>
      <c r="E33" s="9" t="s">
        <v>385</v>
      </c>
      <c r="F33" s="9">
        <v>90</v>
      </c>
      <c r="G33" s="9" t="s">
        <v>380</v>
      </c>
      <c r="H33" s="9" t="s">
        <v>397</v>
      </c>
      <c r="I33" s="9"/>
      <c r="J33" s="9"/>
      <c r="K33" s="9" t="s">
        <v>93</v>
      </c>
      <c r="L33" s="9" t="s">
        <v>430</v>
      </c>
      <c r="M33" s="9"/>
    </row>
    <row r="34" spans="1:13" x14ac:dyDescent="0.25">
      <c r="A34" s="9" t="s">
        <v>80</v>
      </c>
      <c r="B34" s="9" t="s">
        <v>81</v>
      </c>
      <c r="C34" s="9">
        <v>2025</v>
      </c>
      <c r="D34" s="9" t="s">
        <v>384</v>
      </c>
      <c r="E34" s="9" t="s">
        <v>431</v>
      </c>
      <c r="F34" s="9">
        <v>87</v>
      </c>
      <c r="G34" s="9" t="s">
        <v>380</v>
      </c>
      <c r="H34" s="9" t="s">
        <v>397</v>
      </c>
      <c r="I34" s="9"/>
      <c r="J34" s="9"/>
      <c r="K34" s="9" t="s">
        <v>93</v>
      </c>
      <c r="L34" s="9" t="s">
        <v>430</v>
      </c>
      <c r="M34" s="9"/>
    </row>
    <row r="35" spans="1:13" x14ac:dyDescent="0.25">
      <c r="A35" s="9" t="s">
        <v>80</v>
      </c>
      <c r="B35" s="9" t="s">
        <v>81</v>
      </c>
      <c r="C35" s="9">
        <v>2025</v>
      </c>
      <c r="D35" s="9" t="s">
        <v>384</v>
      </c>
      <c r="E35" s="9" t="s">
        <v>432</v>
      </c>
      <c r="F35" s="9">
        <v>87</v>
      </c>
      <c r="G35" s="9" t="s">
        <v>380</v>
      </c>
      <c r="H35" s="9" t="s">
        <v>397</v>
      </c>
      <c r="I35" s="9"/>
      <c r="J35" s="9"/>
      <c r="K35" s="9" t="s">
        <v>93</v>
      </c>
      <c r="L35" s="9" t="s">
        <v>430</v>
      </c>
      <c r="M35" s="9"/>
    </row>
    <row r="36" spans="1:13" x14ac:dyDescent="0.25">
      <c r="A36" s="9" t="s">
        <v>80</v>
      </c>
      <c r="B36" s="9" t="s">
        <v>81</v>
      </c>
      <c r="C36" s="9">
        <v>2025</v>
      </c>
      <c r="D36" s="9" t="s">
        <v>384</v>
      </c>
      <c r="E36" s="9" t="s">
        <v>433</v>
      </c>
      <c r="F36" s="9">
        <v>91</v>
      </c>
      <c r="G36" s="9" t="s">
        <v>380</v>
      </c>
      <c r="H36" s="9" t="s">
        <v>397</v>
      </c>
      <c r="I36" s="9"/>
      <c r="J36" s="9"/>
      <c r="K36" s="9" t="s">
        <v>93</v>
      </c>
      <c r="L36" s="9" t="s">
        <v>430</v>
      </c>
      <c r="M36" s="9"/>
    </row>
    <row r="37" spans="1:13" x14ac:dyDescent="0.25">
      <c r="A37" s="9" t="s">
        <v>80</v>
      </c>
      <c r="B37" s="9" t="s">
        <v>81</v>
      </c>
      <c r="C37" s="9">
        <v>2025</v>
      </c>
      <c r="D37" s="9" t="s">
        <v>384</v>
      </c>
      <c r="E37" s="9" t="s">
        <v>434</v>
      </c>
      <c r="F37" s="9">
        <v>86</v>
      </c>
      <c r="G37" s="9" t="s">
        <v>380</v>
      </c>
      <c r="H37" s="9" t="s">
        <v>397</v>
      </c>
      <c r="I37" s="9"/>
      <c r="J37" s="9"/>
      <c r="K37" s="9" t="s">
        <v>93</v>
      </c>
      <c r="L37" s="9" t="s">
        <v>430</v>
      </c>
      <c r="M37" s="9"/>
    </row>
    <row r="38" spans="1:13" x14ac:dyDescent="0.25">
      <c r="A38" s="9" t="s">
        <v>80</v>
      </c>
      <c r="B38" s="9" t="s">
        <v>81</v>
      </c>
      <c r="C38" s="9">
        <v>2025</v>
      </c>
      <c r="D38" s="9" t="s">
        <v>388</v>
      </c>
      <c r="E38" s="9" t="s">
        <v>435</v>
      </c>
      <c r="F38" s="9">
        <v>78</v>
      </c>
      <c r="G38" s="9" t="s">
        <v>380</v>
      </c>
      <c r="H38" s="9" t="s">
        <v>397</v>
      </c>
      <c r="I38" s="9" t="s">
        <v>436</v>
      </c>
      <c r="J38" s="9"/>
      <c r="K38" s="9" t="s">
        <v>93</v>
      </c>
      <c r="L38" s="9" t="s">
        <v>437</v>
      </c>
      <c r="M38" s="9"/>
    </row>
    <row r="39" spans="1:13" ht="30" x14ac:dyDescent="0.25">
      <c r="A39" s="9" t="s">
        <v>80</v>
      </c>
      <c r="B39" s="9" t="s">
        <v>81</v>
      </c>
      <c r="C39" s="9">
        <v>2025</v>
      </c>
      <c r="D39" s="9" t="s">
        <v>408</v>
      </c>
      <c r="E39" s="9" t="s">
        <v>438</v>
      </c>
      <c r="F39" s="9">
        <v>79</v>
      </c>
      <c r="G39" s="9" t="s">
        <v>380</v>
      </c>
      <c r="H39" s="9" t="s">
        <v>397</v>
      </c>
      <c r="I39" s="9" t="s">
        <v>439</v>
      </c>
      <c r="J39" s="9"/>
      <c r="K39" s="9" t="s">
        <v>93</v>
      </c>
      <c r="L39" s="9" t="s">
        <v>437</v>
      </c>
      <c r="M39" s="9"/>
    </row>
    <row r="40" spans="1:13" ht="30" x14ac:dyDescent="0.25">
      <c r="A40" s="9" t="s">
        <v>80</v>
      </c>
      <c r="B40" s="9" t="s">
        <v>81</v>
      </c>
      <c r="C40" s="9">
        <v>2025</v>
      </c>
      <c r="D40" s="9" t="s">
        <v>408</v>
      </c>
      <c r="E40" s="9" t="s">
        <v>440</v>
      </c>
      <c r="F40" s="9">
        <v>81</v>
      </c>
      <c r="G40" s="9" t="s">
        <v>380</v>
      </c>
      <c r="H40" s="9" t="s">
        <v>397</v>
      </c>
      <c r="I40" s="9" t="s">
        <v>441</v>
      </c>
      <c r="J40" s="9"/>
      <c r="K40" s="9" t="s">
        <v>93</v>
      </c>
      <c r="L40" s="9" t="s">
        <v>387</v>
      </c>
      <c r="M40" s="9"/>
    </row>
    <row r="41" spans="1:13" ht="30" x14ac:dyDescent="0.25">
      <c r="A41" s="9" t="s">
        <v>137</v>
      </c>
      <c r="B41" s="9" t="s">
        <v>138</v>
      </c>
      <c r="C41" s="9">
        <v>2018</v>
      </c>
      <c r="D41" s="9" t="s">
        <v>378</v>
      </c>
      <c r="E41" s="9" t="s">
        <v>379</v>
      </c>
      <c r="F41" s="9">
        <v>40</v>
      </c>
      <c r="G41" s="9" t="s">
        <v>380</v>
      </c>
      <c r="H41" s="9" t="s">
        <v>442</v>
      </c>
      <c r="I41" s="9"/>
      <c r="J41" s="9"/>
      <c r="K41" s="9" t="s">
        <v>149</v>
      </c>
      <c r="L41" s="9" t="s">
        <v>437</v>
      </c>
      <c r="M41" s="9"/>
    </row>
    <row r="42" spans="1:13" ht="30" x14ac:dyDescent="0.25">
      <c r="A42" s="9" t="s">
        <v>137</v>
      </c>
      <c r="B42" s="9" t="s">
        <v>138</v>
      </c>
      <c r="C42" s="9">
        <v>2018</v>
      </c>
      <c r="D42" s="9" t="s">
        <v>378</v>
      </c>
      <c r="E42" s="9" t="s">
        <v>383</v>
      </c>
      <c r="F42" s="9">
        <v>32</v>
      </c>
      <c r="G42" s="9" t="s">
        <v>380</v>
      </c>
      <c r="H42" s="9" t="s">
        <v>442</v>
      </c>
      <c r="I42" s="9"/>
      <c r="J42" s="9"/>
      <c r="K42" s="9" t="s">
        <v>149</v>
      </c>
      <c r="L42" s="9" t="s">
        <v>437</v>
      </c>
      <c r="M42" s="9"/>
    </row>
    <row r="43" spans="1:13" ht="30" x14ac:dyDescent="0.25">
      <c r="A43" s="9" t="s">
        <v>137</v>
      </c>
      <c r="B43" s="9" t="s">
        <v>138</v>
      </c>
      <c r="C43" s="9">
        <v>2018</v>
      </c>
      <c r="D43" s="9" t="s">
        <v>384</v>
      </c>
      <c r="E43" s="9" t="s">
        <v>443</v>
      </c>
      <c r="F43" s="9">
        <v>88</v>
      </c>
      <c r="G43" s="9" t="s">
        <v>380</v>
      </c>
      <c r="H43" s="9" t="s">
        <v>444</v>
      </c>
      <c r="I43" s="9"/>
      <c r="J43" s="9"/>
      <c r="K43" s="9" t="s">
        <v>149</v>
      </c>
      <c r="L43" s="9" t="s">
        <v>445</v>
      </c>
      <c r="M43" s="9"/>
    </row>
    <row r="44" spans="1:13" ht="30" x14ac:dyDescent="0.25">
      <c r="A44" s="9" t="s">
        <v>137</v>
      </c>
      <c r="B44" s="9" t="s">
        <v>138</v>
      </c>
      <c r="C44" s="9">
        <v>2018</v>
      </c>
      <c r="D44" s="9" t="s">
        <v>384</v>
      </c>
      <c r="E44" s="9" t="s">
        <v>446</v>
      </c>
      <c r="F44" s="9">
        <v>92</v>
      </c>
      <c r="G44" s="9" t="s">
        <v>380</v>
      </c>
      <c r="H44" s="9" t="s">
        <v>444</v>
      </c>
      <c r="I44" s="9"/>
      <c r="J44" s="9"/>
      <c r="K44" s="9" t="s">
        <v>149</v>
      </c>
      <c r="L44" s="9" t="s">
        <v>445</v>
      </c>
      <c r="M44" s="9"/>
    </row>
    <row r="45" spans="1:13" ht="30" x14ac:dyDescent="0.25">
      <c r="A45" s="9" t="s">
        <v>137</v>
      </c>
      <c r="B45" s="9" t="s">
        <v>138</v>
      </c>
      <c r="C45" s="9">
        <v>2018</v>
      </c>
      <c r="D45" s="9" t="s">
        <v>384</v>
      </c>
      <c r="E45" s="9" t="s">
        <v>447</v>
      </c>
      <c r="F45" s="9">
        <v>87</v>
      </c>
      <c r="G45" s="9" t="s">
        <v>380</v>
      </c>
      <c r="H45" s="9" t="s">
        <v>444</v>
      </c>
      <c r="I45" s="9"/>
      <c r="J45" s="9"/>
      <c r="K45" s="9" t="s">
        <v>149</v>
      </c>
      <c r="L45" s="9" t="s">
        <v>448</v>
      </c>
      <c r="M45" s="9"/>
    </row>
    <row r="46" spans="1:13" ht="30" x14ac:dyDescent="0.25">
      <c r="A46" s="9" t="s">
        <v>137</v>
      </c>
      <c r="B46" s="9" t="s">
        <v>138</v>
      </c>
      <c r="C46" s="9">
        <v>2018</v>
      </c>
      <c r="D46" s="9" t="s">
        <v>408</v>
      </c>
      <c r="E46" s="9" t="s">
        <v>449</v>
      </c>
      <c r="F46" s="9">
        <v>87</v>
      </c>
      <c r="G46" s="9" t="s">
        <v>380</v>
      </c>
      <c r="H46" s="9" t="s">
        <v>444</v>
      </c>
      <c r="I46" s="9"/>
      <c r="J46" s="9"/>
      <c r="K46" s="9" t="s">
        <v>149</v>
      </c>
      <c r="L46" s="9" t="s">
        <v>387</v>
      </c>
      <c r="M46" s="9"/>
    </row>
    <row r="47" spans="1:13" ht="30" x14ac:dyDescent="0.25">
      <c r="A47" s="9" t="s">
        <v>137</v>
      </c>
      <c r="B47" s="9" t="s">
        <v>138</v>
      </c>
      <c r="C47" s="9">
        <v>2018</v>
      </c>
      <c r="D47" s="9" t="s">
        <v>378</v>
      </c>
      <c r="E47" s="9" t="s">
        <v>379</v>
      </c>
      <c r="F47" s="9">
        <v>52</v>
      </c>
      <c r="G47" s="9" t="s">
        <v>380</v>
      </c>
      <c r="H47" s="9" t="s">
        <v>450</v>
      </c>
      <c r="I47" s="9"/>
      <c r="J47" s="9"/>
      <c r="K47" s="9" t="s">
        <v>149</v>
      </c>
      <c r="L47" s="9" t="s">
        <v>437</v>
      </c>
      <c r="M47" s="9"/>
    </row>
    <row r="48" spans="1:13" ht="30" x14ac:dyDescent="0.25">
      <c r="A48" s="9" t="s">
        <v>137</v>
      </c>
      <c r="B48" s="9" t="s">
        <v>138</v>
      </c>
      <c r="C48" s="9">
        <v>2018</v>
      </c>
      <c r="D48" s="9" t="s">
        <v>378</v>
      </c>
      <c r="E48" s="9" t="s">
        <v>383</v>
      </c>
      <c r="F48" s="9">
        <v>77</v>
      </c>
      <c r="G48" s="9" t="s">
        <v>380</v>
      </c>
      <c r="H48" s="9" t="s">
        <v>450</v>
      </c>
      <c r="I48" s="9"/>
      <c r="J48" s="9"/>
      <c r="K48" s="9" t="s">
        <v>149</v>
      </c>
      <c r="L48" s="9" t="s">
        <v>437</v>
      </c>
      <c r="M48" s="9"/>
    </row>
    <row r="49" spans="1:13" ht="30" x14ac:dyDescent="0.25">
      <c r="A49" s="9" t="s">
        <v>137</v>
      </c>
      <c r="B49" s="9" t="s">
        <v>138</v>
      </c>
      <c r="C49" s="9">
        <v>2018</v>
      </c>
      <c r="D49" s="9" t="s">
        <v>384</v>
      </c>
      <c r="E49" s="9" t="s">
        <v>443</v>
      </c>
      <c r="F49" s="9">
        <v>75</v>
      </c>
      <c r="G49" s="9" t="s">
        <v>380</v>
      </c>
      <c r="H49" s="9" t="s">
        <v>451</v>
      </c>
      <c r="I49" s="9"/>
      <c r="J49" s="9"/>
      <c r="K49" s="9" t="s">
        <v>149</v>
      </c>
      <c r="L49" s="9" t="s">
        <v>445</v>
      </c>
      <c r="M49" s="9"/>
    </row>
    <row r="50" spans="1:13" ht="30" x14ac:dyDescent="0.25">
      <c r="A50" s="9" t="s">
        <v>137</v>
      </c>
      <c r="B50" s="9" t="s">
        <v>138</v>
      </c>
      <c r="C50" s="9">
        <v>2018</v>
      </c>
      <c r="D50" s="9" t="s">
        <v>384</v>
      </c>
      <c r="E50" s="9" t="s">
        <v>446</v>
      </c>
      <c r="F50" s="9">
        <v>96</v>
      </c>
      <c r="G50" s="9" t="s">
        <v>380</v>
      </c>
      <c r="H50" s="9" t="s">
        <v>451</v>
      </c>
      <c r="I50" s="9"/>
      <c r="J50" s="9"/>
      <c r="K50" s="9" t="s">
        <v>149</v>
      </c>
      <c r="L50" s="9" t="s">
        <v>445</v>
      </c>
      <c r="M50" s="9"/>
    </row>
    <row r="51" spans="1:13" ht="30" x14ac:dyDescent="0.25">
      <c r="A51" s="9" t="s">
        <v>137</v>
      </c>
      <c r="B51" s="9" t="s">
        <v>138</v>
      </c>
      <c r="C51" s="9">
        <v>2018</v>
      </c>
      <c r="D51" s="9" t="s">
        <v>384</v>
      </c>
      <c r="E51" s="9" t="s">
        <v>447</v>
      </c>
      <c r="F51" s="9">
        <v>84</v>
      </c>
      <c r="G51" s="9" t="s">
        <v>380</v>
      </c>
      <c r="H51" s="9" t="s">
        <v>451</v>
      </c>
      <c r="I51" s="9"/>
      <c r="J51" s="9"/>
      <c r="K51" s="9" t="s">
        <v>149</v>
      </c>
      <c r="L51" s="9" t="s">
        <v>448</v>
      </c>
      <c r="M51" s="9"/>
    </row>
    <row r="52" spans="1:13" ht="30" x14ac:dyDescent="0.25">
      <c r="A52" s="9" t="s">
        <v>137</v>
      </c>
      <c r="B52" s="9" t="s">
        <v>138</v>
      </c>
      <c r="C52" s="9">
        <v>2018</v>
      </c>
      <c r="D52" s="9" t="s">
        <v>408</v>
      </c>
      <c r="E52" s="9" t="s">
        <v>449</v>
      </c>
      <c r="F52" s="9">
        <v>89</v>
      </c>
      <c r="G52" s="9" t="s">
        <v>380</v>
      </c>
      <c r="H52" s="9" t="s">
        <v>451</v>
      </c>
      <c r="I52" s="9"/>
      <c r="J52" s="9"/>
      <c r="K52" s="9" t="s">
        <v>149</v>
      </c>
      <c r="L52" s="9" t="s">
        <v>387</v>
      </c>
      <c r="M52" s="9"/>
    </row>
    <row r="53" spans="1:13" ht="30" x14ac:dyDescent="0.25">
      <c r="A53" s="9" t="s">
        <v>137</v>
      </c>
      <c r="B53" s="9" t="s">
        <v>138</v>
      </c>
      <c r="C53" s="9">
        <v>2018</v>
      </c>
      <c r="D53" s="9" t="s">
        <v>408</v>
      </c>
      <c r="E53" s="9" t="s">
        <v>452</v>
      </c>
      <c r="F53" s="9">
        <v>94</v>
      </c>
      <c r="G53" s="9" t="s">
        <v>380</v>
      </c>
      <c r="H53" s="9" t="s">
        <v>453</v>
      </c>
      <c r="I53" s="9"/>
      <c r="J53" s="9"/>
      <c r="K53" s="9" t="s">
        <v>149</v>
      </c>
      <c r="L53" s="9" t="s">
        <v>387</v>
      </c>
      <c r="M53" s="9"/>
    </row>
    <row r="54" spans="1:13" ht="30" x14ac:dyDescent="0.25">
      <c r="A54" s="9" t="s">
        <v>137</v>
      </c>
      <c r="B54" s="9" t="s">
        <v>138</v>
      </c>
      <c r="C54" s="9">
        <v>2018</v>
      </c>
      <c r="D54" s="9" t="s">
        <v>408</v>
      </c>
      <c r="E54" s="9" t="s">
        <v>454</v>
      </c>
      <c r="F54" s="9">
        <v>92</v>
      </c>
      <c r="G54" s="9" t="s">
        <v>380</v>
      </c>
      <c r="H54" s="9" t="s">
        <v>453</v>
      </c>
      <c r="I54" s="9" t="s">
        <v>455</v>
      </c>
      <c r="J54" s="9"/>
      <c r="K54" s="9" t="s">
        <v>149</v>
      </c>
      <c r="L54" s="9" t="s">
        <v>387</v>
      </c>
      <c r="M54" s="9"/>
    </row>
    <row r="55" spans="1:13" ht="30" x14ac:dyDescent="0.25">
      <c r="A55" s="9" t="s">
        <v>151</v>
      </c>
      <c r="B55" s="9" t="s">
        <v>152</v>
      </c>
      <c r="C55" s="9">
        <v>2019</v>
      </c>
      <c r="D55" s="9" t="s">
        <v>456</v>
      </c>
      <c r="E55" s="9" t="s">
        <v>457</v>
      </c>
      <c r="F55" s="9">
        <v>10143</v>
      </c>
      <c r="G55" s="9" t="s">
        <v>458</v>
      </c>
      <c r="H55" s="9" t="s">
        <v>459</v>
      </c>
      <c r="I55" s="9"/>
      <c r="J55" s="9"/>
      <c r="K55" s="9" t="s">
        <v>167</v>
      </c>
      <c r="L55" s="9" t="s">
        <v>460</v>
      </c>
      <c r="M55" s="9"/>
    </row>
    <row r="56" spans="1:13" ht="30" x14ac:dyDescent="0.25">
      <c r="A56" s="9" t="s">
        <v>151</v>
      </c>
      <c r="B56" s="9" t="s">
        <v>152</v>
      </c>
      <c r="C56" s="9">
        <v>2019</v>
      </c>
      <c r="D56" s="9" t="s">
        <v>456</v>
      </c>
      <c r="E56" s="9" t="s">
        <v>461</v>
      </c>
      <c r="F56" s="9">
        <v>22</v>
      </c>
      <c r="G56" s="9" t="s">
        <v>401</v>
      </c>
      <c r="H56" s="9" t="s">
        <v>462</v>
      </c>
      <c r="I56" s="9" t="s">
        <v>463</v>
      </c>
      <c r="J56" s="9"/>
      <c r="K56" s="9" t="s">
        <v>167</v>
      </c>
      <c r="L56" s="9" t="s">
        <v>464</v>
      </c>
      <c r="M56" s="9"/>
    </row>
    <row r="57" spans="1:13" ht="30" x14ac:dyDescent="0.25">
      <c r="A57" s="9" t="s">
        <v>151</v>
      </c>
      <c r="B57" s="9" t="s">
        <v>152</v>
      </c>
      <c r="C57" s="9">
        <v>2019</v>
      </c>
      <c r="D57" s="9" t="s">
        <v>395</v>
      </c>
      <c r="E57" s="9" t="s">
        <v>465</v>
      </c>
      <c r="F57" s="9">
        <v>8.6999999999999993</v>
      </c>
      <c r="G57" s="9" t="s">
        <v>380</v>
      </c>
      <c r="H57" s="9" t="s">
        <v>457</v>
      </c>
      <c r="I57" s="9"/>
      <c r="J57" s="9"/>
      <c r="K57" s="9" t="s">
        <v>167</v>
      </c>
      <c r="L57" s="9" t="s">
        <v>464</v>
      </c>
      <c r="M57" s="9"/>
    </row>
    <row r="58" spans="1:13" ht="30" x14ac:dyDescent="0.25">
      <c r="A58" s="9" t="s">
        <v>151</v>
      </c>
      <c r="B58" s="9" t="s">
        <v>152</v>
      </c>
      <c r="C58" s="9">
        <v>2019</v>
      </c>
      <c r="D58" s="9" t="s">
        <v>378</v>
      </c>
      <c r="E58" s="9" t="s">
        <v>466</v>
      </c>
      <c r="F58" s="9">
        <v>61.3</v>
      </c>
      <c r="G58" s="9" t="s">
        <v>380</v>
      </c>
      <c r="H58" s="9" t="s">
        <v>467</v>
      </c>
      <c r="I58" s="9"/>
      <c r="J58" s="9"/>
      <c r="K58" s="9" t="s">
        <v>167</v>
      </c>
      <c r="L58" s="9" t="s">
        <v>468</v>
      </c>
      <c r="M58" s="9" t="s">
        <v>469</v>
      </c>
    </row>
    <row r="59" spans="1:13" ht="30" x14ac:dyDescent="0.25">
      <c r="A59" s="9" t="s">
        <v>151</v>
      </c>
      <c r="B59" s="9" t="s">
        <v>152</v>
      </c>
      <c r="C59" s="9">
        <v>2019</v>
      </c>
      <c r="D59" s="9" t="s">
        <v>470</v>
      </c>
      <c r="E59" s="9" t="s">
        <v>471</v>
      </c>
      <c r="F59" s="9">
        <v>0.89</v>
      </c>
      <c r="G59" s="9" t="s">
        <v>380</v>
      </c>
      <c r="H59" s="9" t="s">
        <v>457</v>
      </c>
      <c r="I59" s="9" t="s">
        <v>472</v>
      </c>
      <c r="J59" s="9"/>
      <c r="K59" s="9" t="s">
        <v>167</v>
      </c>
      <c r="L59" s="9" t="s">
        <v>464</v>
      </c>
      <c r="M59" s="9"/>
    </row>
    <row r="60" spans="1:13" ht="30" x14ac:dyDescent="0.25">
      <c r="A60" s="9" t="s">
        <v>151</v>
      </c>
      <c r="B60" s="9" t="s">
        <v>152</v>
      </c>
      <c r="C60" s="9">
        <v>2019</v>
      </c>
      <c r="D60" s="9" t="s">
        <v>470</v>
      </c>
      <c r="E60" s="9" t="s">
        <v>473</v>
      </c>
      <c r="F60" s="9">
        <v>9</v>
      </c>
      <c r="G60" s="9" t="s">
        <v>458</v>
      </c>
      <c r="H60" s="9" t="s">
        <v>457</v>
      </c>
      <c r="I60" s="9"/>
      <c r="J60" s="9"/>
      <c r="K60" s="9" t="s">
        <v>167</v>
      </c>
      <c r="L60" s="9" t="s">
        <v>464</v>
      </c>
      <c r="M60" s="9"/>
    </row>
    <row r="61" spans="1:13" ht="30" x14ac:dyDescent="0.25">
      <c r="A61" s="9" t="s">
        <v>95</v>
      </c>
      <c r="B61" s="9" t="s">
        <v>96</v>
      </c>
      <c r="C61" s="9">
        <v>2019</v>
      </c>
      <c r="D61" s="9" t="s">
        <v>378</v>
      </c>
      <c r="E61" s="9" t="s">
        <v>383</v>
      </c>
      <c r="F61" s="9">
        <v>74.5</v>
      </c>
      <c r="G61" s="9" t="s">
        <v>380</v>
      </c>
      <c r="H61" s="9" t="s">
        <v>474</v>
      </c>
      <c r="I61" s="9"/>
      <c r="J61" s="9"/>
      <c r="K61" s="9" t="s">
        <v>475</v>
      </c>
      <c r="L61" s="9" t="s">
        <v>476</v>
      </c>
      <c r="M61" s="9"/>
    </row>
    <row r="62" spans="1:13" ht="30" x14ac:dyDescent="0.25">
      <c r="A62" s="9" t="s">
        <v>95</v>
      </c>
      <c r="B62" s="9" t="s">
        <v>96</v>
      </c>
      <c r="C62" s="9">
        <v>2019</v>
      </c>
      <c r="D62" s="9" t="s">
        <v>477</v>
      </c>
      <c r="E62" s="9" t="s">
        <v>478</v>
      </c>
      <c r="F62" s="9">
        <v>1.32</v>
      </c>
      <c r="G62" s="9" t="s">
        <v>479</v>
      </c>
      <c r="H62" s="9" t="s">
        <v>480</v>
      </c>
      <c r="I62" s="9" t="s">
        <v>481</v>
      </c>
      <c r="J62" s="9" t="s">
        <v>394</v>
      </c>
      <c r="K62" s="9" t="s">
        <v>475</v>
      </c>
      <c r="L62" s="9" t="s">
        <v>482</v>
      </c>
      <c r="M62" s="9" t="s">
        <v>483</v>
      </c>
    </row>
    <row r="63" spans="1:13" ht="30" x14ac:dyDescent="0.25">
      <c r="A63" s="9" t="s">
        <v>95</v>
      </c>
      <c r="B63" s="9" t="s">
        <v>96</v>
      </c>
      <c r="C63" s="9">
        <v>2019</v>
      </c>
      <c r="D63" s="9" t="s">
        <v>477</v>
      </c>
      <c r="E63" s="9" t="s">
        <v>484</v>
      </c>
      <c r="F63" s="9">
        <v>1.41</v>
      </c>
      <c r="G63" s="9" t="s">
        <v>479</v>
      </c>
      <c r="H63" s="9" t="s">
        <v>480</v>
      </c>
      <c r="I63" s="9" t="s">
        <v>485</v>
      </c>
      <c r="J63" s="9" t="s">
        <v>394</v>
      </c>
      <c r="K63" s="9" t="s">
        <v>475</v>
      </c>
      <c r="L63" s="9" t="s">
        <v>482</v>
      </c>
      <c r="M63" s="9" t="s">
        <v>483</v>
      </c>
    </row>
    <row r="64" spans="1:13" ht="30" x14ac:dyDescent="0.25">
      <c r="A64" s="9" t="s">
        <v>95</v>
      </c>
      <c r="B64" s="9" t="s">
        <v>96</v>
      </c>
      <c r="C64" s="9">
        <v>2019</v>
      </c>
      <c r="D64" s="9" t="s">
        <v>477</v>
      </c>
      <c r="E64" s="9" t="s">
        <v>486</v>
      </c>
      <c r="F64" s="9">
        <v>1.8</v>
      </c>
      <c r="G64" s="9" t="s">
        <v>479</v>
      </c>
      <c r="H64" s="9" t="s">
        <v>480</v>
      </c>
      <c r="I64" s="9" t="s">
        <v>487</v>
      </c>
      <c r="J64" s="9" t="s">
        <v>394</v>
      </c>
      <c r="K64" s="9" t="s">
        <v>475</v>
      </c>
      <c r="L64" s="9" t="s">
        <v>482</v>
      </c>
      <c r="M64" s="9" t="s">
        <v>488</v>
      </c>
    </row>
    <row r="65" spans="1:13" x14ac:dyDescent="0.25">
      <c r="A65" s="9" t="s">
        <v>95</v>
      </c>
      <c r="B65" s="9" t="s">
        <v>96</v>
      </c>
      <c r="C65" s="9">
        <v>2019</v>
      </c>
      <c r="D65" s="9" t="s">
        <v>477</v>
      </c>
      <c r="E65" s="9" t="s">
        <v>489</v>
      </c>
      <c r="F65" s="9">
        <v>0.83</v>
      </c>
      <c r="G65" s="9" t="s">
        <v>479</v>
      </c>
      <c r="H65" s="9" t="s">
        <v>480</v>
      </c>
      <c r="I65" s="9" t="s">
        <v>490</v>
      </c>
      <c r="J65" s="9" t="s">
        <v>394</v>
      </c>
      <c r="K65" s="9" t="s">
        <v>475</v>
      </c>
      <c r="L65" s="9" t="s">
        <v>482</v>
      </c>
      <c r="M65" s="9" t="s">
        <v>491</v>
      </c>
    </row>
    <row r="66" spans="1:13" ht="30" x14ac:dyDescent="0.25">
      <c r="A66" s="9" t="s">
        <v>95</v>
      </c>
      <c r="B66" s="9" t="s">
        <v>96</v>
      </c>
      <c r="C66" s="9">
        <v>2019</v>
      </c>
      <c r="D66" s="9" t="s">
        <v>390</v>
      </c>
      <c r="E66" s="9" t="s">
        <v>492</v>
      </c>
      <c r="F66" s="9">
        <v>0.67</v>
      </c>
      <c r="G66" s="9" t="s">
        <v>479</v>
      </c>
      <c r="H66" s="9" t="s">
        <v>493</v>
      </c>
      <c r="I66" s="9" t="s">
        <v>494</v>
      </c>
      <c r="J66" s="9" t="s">
        <v>394</v>
      </c>
      <c r="K66" s="9" t="s">
        <v>475</v>
      </c>
      <c r="L66" s="9" t="s">
        <v>495</v>
      </c>
      <c r="M66" s="9" t="s">
        <v>496</v>
      </c>
    </row>
    <row r="67" spans="1:13" ht="30" x14ac:dyDescent="0.25">
      <c r="A67" s="9" t="s">
        <v>95</v>
      </c>
      <c r="B67" s="9" t="s">
        <v>96</v>
      </c>
      <c r="C67" s="9">
        <v>2019</v>
      </c>
      <c r="D67" s="9" t="s">
        <v>399</v>
      </c>
      <c r="E67" s="9" t="s">
        <v>497</v>
      </c>
      <c r="F67" s="9">
        <v>15243</v>
      </c>
      <c r="G67" s="9" t="s">
        <v>498</v>
      </c>
      <c r="H67" s="9" t="s">
        <v>499</v>
      </c>
      <c r="I67" s="9"/>
      <c r="J67" s="9"/>
      <c r="K67" s="9" t="s">
        <v>114</v>
      </c>
      <c r="L67" s="9" t="s">
        <v>500</v>
      </c>
      <c r="M67" s="9"/>
    </row>
    <row r="68" spans="1:13" x14ac:dyDescent="0.25">
      <c r="A68" s="9" t="s">
        <v>95</v>
      </c>
      <c r="B68" s="9" t="s">
        <v>96</v>
      </c>
      <c r="C68" s="9">
        <v>2019</v>
      </c>
      <c r="D68" s="9" t="s">
        <v>399</v>
      </c>
      <c r="E68" s="9" t="s">
        <v>501</v>
      </c>
      <c r="F68" s="9">
        <v>36193</v>
      </c>
      <c r="G68" s="9" t="s">
        <v>498</v>
      </c>
      <c r="H68" s="9" t="s">
        <v>499</v>
      </c>
      <c r="I68" s="9"/>
      <c r="J68" s="9"/>
      <c r="K68" s="9" t="s">
        <v>114</v>
      </c>
      <c r="L68" s="9" t="s">
        <v>500</v>
      </c>
      <c r="M68" s="9"/>
    </row>
    <row r="69" spans="1:13" x14ac:dyDescent="0.25">
      <c r="A69" s="9" t="s">
        <v>95</v>
      </c>
      <c r="B69" s="9" t="s">
        <v>96</v>
      </c>
      <c r="C69" s="9">
        <v>2019</v>
      </c>
      <c r="D69" s="9" t="s">
        <v>502</v>
      </c>
      <c r="E69" s="9" t="s">
        <v>503</v>
      </c>
      <c r="F69" s="9">
        <v>42</v>
      </c>
      <c r="G69" s="9" t="s">
        <v>380</v>
      </c>
      <c r="H69" s="9" t="s">
        <v>504</v>
      </c>
      <c r="I69" s="9"/>
      <c r="J69" s="9"/>
      <c r="K69" s="9" t="s">
        <v>114</v>
      </c>
      <c r="L69" s="9" t="s">
        <v>500</v>
      </c>
      <c r="M69" s="9"/>
    </row>
    <row r="70" spans="1:13" ht="30" x14ac:dyDescent="0.25">
      <c r="A70" s="9" t="s">
        <v>95</v>
      </c>
      <c r="B70" s="9" t="s">
        <v>111</v>
      </c>
      <c r="C70" s="9">
        <v>2020</v>
      </c>
      <c r="D70" s="9" t="s">
        <v>399</v>
      </c>
      <c r="E70" s="9" t="s">
        <v>497</v>
      </c>
      <c r="F70" s="9">
        <v>8368</v>
      </c>
      <c r="G70" s="9" t="s">
        <v>498</v>
      </c>
      <c r="H70" s="9" t="s">
        <v>499</v>
      </c>
      <c r="I70" s="9"/>
      <c r="J70" s="9"/>
      <c r="K70" s="9" t="s">
        <v>114</v>
      </c>
      <c r="L70" s="9" t="s">
        <v>500</v>
      </c>
      <c r="M70" s="9"/>
    </row>
    <row r="71" spans="1:13" x14ac:dyDescent="0.25">
      <c r="A71" s="9" t="s">
        <v>95</v>
      </c>
      <c r="B71" s="9" t="s">
        <v>111</v>
      </c>
      <c r="C71" s="9">
        <v>2020</v>
      </c>
      <c r="D71" s="9" t="s">
        <v>399</v>
      </c>
      <c r="E71" s="9" t="s">
        <v>501</v>
      </c>
      <c r="F71" s="9">
        <v>38558</v>
      </c>
      <c r="G71" s="9" t="s">
        <v>498</v>
      </c>
      <c r="H71" s="9" t="s">
        <v>499</v>
      </c>
      <c r="I71" s="9"/>
      <c r="J71" s="9"/>
      <c r="K71" s="9" t="s">
        <v>114</v>
      </c>
      <c r="L71" s="9" t="s">
        <v>500</v>
      </c>
      <c r="M71" s="9"/>
    </row>
    <row r="72" spans="1:13" x14ac:dyDescent="0.25">
      <c r="A72" s="9" t="s">
        <v>95</v>
      </c>
      <c r="B72" s="9" t="s">
        <v>111</v>
      </c>
      <c r="C72" s="9">
        <v>2020</v>
      </c>
      <c r="D72" s="9" t="s">
        <v>502</v>
      </c>
      <c r="E72" s="9" t="s">
        <v>503</v>
      </c>
      <c r="F72" s="9">
        <v>22</v>
      </c>
      <c r="G72" s="9" t="s">
        <v>380</v>
      </c>
      <c r="H72" s="9" t="s">
        <v>504</v>
      </c>
      <c r="I72" s="9"/>
      <c r="J72" s="9"/>
      <c r="K72" s="9" t="s">
        <v>114</v>
      </c>
      <c r="L72" s="9" t="s">
        <v>500</v>
      </c>
      <c r="M72" s="9"/>
    </row>
    <row r="73" spans="1:13" ht="30" x14ac:dyDescent="0.25">
      <c r="A73" s="9" t="s">
        <v>95</v>
      </c>
      <c r="B73" s="9" t="s">
        <v>116</v>
      </c>
      <c r="C73" s="9">
        <v>2021</v>
      </c>
      <c r="D73" s="9" t="s">
        <v>399</v>
      </c>
      <c r="E73" s="9" t="s">
        <v>497</v>
      </c>
      <c r="F73" s="9">
        <v>5324</v>
      </c>
      <c r="G73" s="9" t="s">
        <v>498</v>
      </c>
      <c r="H73" s="9" t="s">
        <v>499</v>
      </c>
      <c r="I73" s="9"/>
      <c r="J73" s="9"/>
      <c r="K73" s="9" t="s">
        <v>114</v>
      </c>
      <c r="L73" s="9" t="s">
        <v>500</v>
      </c>
      <c r="M73" s="9"/>
    </row>
    <row r="74" spans="1:13" x14ac:dyDescent="0.25">
      <c r="A74" s="9" t="s">
        <v>95</v>
      </c>
      <c r="B74" s="9" t="s">
        <v>116</v>
      </c>
      <c r="C74" s="9">
        <v>2021</v>
      </c>
      <c r="D74" s="9" t="s">
        <v>399</v>
      </c>
      <c r="E74" s="9" t="s">
        <v>501</v>
      </c>
      <c r="F74" s="9">
        <v>21115</v>
      </c>
      <c r="G74" s="9" t="s">
        <v>498</v>
      </c>
      <c r="H74" s="9" t="s">
        <v>499</v>
      </c>
      <c r="I74" s="9"/>
      <c r="J74" s="9"/>
      <c r="K74" s="9" t="s">
        <v>114</v>
      </c>
      <c r="L74" s="9" t="s">
        <v>500</v>
      </c>
      <c r="M74" s="9"/>
    </row>
    <row r="75" spans="1:13" x14ac:dyDescent="0.25">
      <c r="A75" s="9" t="s">
        <v>95</v>
      </c>
      <c r="B75" s="9" t="s">
        <v>116</v>
      </c>
      <c r="C75" s="9">
        <v>2021</v>
      </c>
      <c r="D75" s="9" t="s">
        <v>502</v>
      </c>
      <c r="E75" s="9" t="s">
        <v>503</v>
      </c>
      <c r="F75" s="9">
        <v>25</v>
      </c>
      <c r="G75" s="9" t="s">
        <v>380</v>
      </c>
      <c r="H75" s="9" t="s">
        <v>504</v>
      </c>
      <c r="I75" s="9"/>
      <c r="J75" s="9"/>
      <c r="K75" s="9" t="s">
        <v>114</v>
      </c>
      <c r="L75" s="9" t="s">
        <v>500</v>
      </c>
      <c r="M75" s="9"/>
    </row>
    <row r="76" spans="1:13" ht="30" x14ac:dyDescent="0.25">
      <c r="A76" s="9" t="s">
        <v>95</v>
      </c>
      <c r="B76" s="9" t="s">
        <v>120</v>
      </c>
      <c r="C76" s="9">
        <v>2021</v>
      </c>
      <c r="D76" s="9" t="s">
        <v>399</v>
      </c>
      <c r="E76" s="9" t="s">
        <v>497</v>
      </c>
      <c r="F76" s="9">
        <v>5741</v>
      </c>
      <c r="G76" s="9" t="s">
        <v>498</v>
      </c>
      <c r="H76" s="9" t="s">
        <v>499</v>
      </c>
      <c r="I76" s="9"/>
      <c r="J76" s="9"/>
      <c r="K76" s="9" t="s">
        <v>114</v>
      </c>
      <c r="L76" s="9" t="s">
        <v>500</v>
      </c>
      <c r="M76" s="9"/>
    </row>
    <row r="77" spans="1:13" x14ac:dyDescent="0.25">
      <c r="A77" s="9" t="s">
        <v>95</v>
      </c>
      <c r="B77" s="9" t="s">
        <v>120</v>
      </c>
      <c r="C77" s="9">
        <v>2021</v>
      </c>
      <c r="D77" s="9" t="s">
        <v>399</v>
      </c>
      <c r="E77" s="9" t="s">
        <v>501</v>
      </c>
      <c r="F77" s="9">
        <v>24949</v>
      </c>
      <c r="G77" s="9" t="s">
        <v>498</v>
      </c>
      <c r="H77" s="9" t="s">
        <v>499</v>
      </c>
      <c r="I77" s="9"/>
      <c r="J77" s="9"/>
      <c r="K77" s="9" t="s">
        <v>114</v>
      </c>
      <c r="L77" s="9" t="s">
        <v>500</v>
      </c>
      <c r="M77" s="9"/>
    </row>
    <row r="78" spans="1:13" x14ac:dyDescent="0.25">
      <c r="A78" s="9" t="s">
        <v>95</v>
      </c>
      <c r="B78" s="9" t="s">
        <v>120</v>
      </c>
      <c r="C78" s="9">
        <v>2021</v>
      </c>
      <c r="D78" s="9" t="s">
        <v>502</v>
      </c>
      <c r="E78" s="9" t="s">
        <v>503</v>
      </c>
      <c r="F78" s="9">
        <v>23</v>
      </c>
      <c r="G78" s="9" t="s">
        <v>380</v>
      </c>
      <c r="H78" s="9" t="s">
        <v>504</v>
      </c>
      <c r="I78" s="9"/>
      <c r="J78" s="9"/>
      <c r="K78" s="9" t="s">
        <v>114</v>
      </c>
      <c r="L78" s="9" t="s">
        <v>500</v>
      </c>
      <c r="M78" s="9"/>
    </row>
    <row r="79" spans="1:13" ht="30" x14ac:dyDescent="0.25">
      <c r="A79" s="9" t="s">
        <v>95</v>
      </c>
      <c r="B79" s="9" t="s">
        <v>123</v>
      </c>
      <c r="C79" s="9">
        <v>2022</v>
      </c>
      <c r="D79" s="9" t="s">
        <v>399</v>
      </c>
      <c r="E79" s="9" t="s">
        <v>497</v>
      </c>
      <c r="F79" s="9">
        <v>5875</v>
      </c>
      <c r="G79" s="9" t="s">
        <v>498</v>
      </c>
      <c r="H79" s="9" t="s">
        <v>499</v>
      </c>
      <c r="I79" s="9"/>
      <c r="J79" s="9"/>
      <c r="K79" s="9" t="s">
        <v>114</v>
      </c>
      <c r="L79" s="9" t="s">
        <v>500</v>
      </c>
      <c r="M79" s="9"/>
    </row>
    <row r="80" spans="1:13" x14ac:dyDescent="0.25">
      <c r="A80" s="9" t="s">
        <v>95</v>
      </c>
      <c r="B80" s="9" t="s">
        <v>123</v>
      </c>
      <c r="C80" s="9">
        <v>2022</v>
      </c>
      <c r="D80" s="9" t="s">
        <v>399</v>
      </c>
      <c r="E80" s="9" t="s">
        <v>501</v>
      </c>
      <c r="F80" s="9">
        <v>23968</v>
      </c>
      <c r="G80" s="9" t="s">
        <v>498</v>
      </c>
      <c r="H80" s="9" t="s">
        <v>499</v>
      </c>
      <c r="I80" s="9"/>
      <c r="J80" s="9"/>
      <c r="K80" s="9" t="s">
        <v>114</v>
      </c>
      <c r="L80" s="9" t="s">
        <v>500</v>
      </c>
      <c r="M80" s="9"/>
    </row>
    <row r="81" spans="1:13" x14ac:dyDescent="0.25">
      <c r="A81" s="9" t="s">
        <v>95</v>
      </c>
      <c r="B81" s="9" t="s">
        <v>123</v>
      </c>
      <c r="C81" s="9">
        <v>2022</v>
      </c>
      <c r="D81" s="9" t="s">
        <v>502</v>
      </c>
      <c r="E81" s="9" t="s">
        <v>503</v>
      </c>
      <c r="F81" s="9">
        <v>25</v>
      </c>
      <c r="G81" s="9" t="s">
        <v>380</v>
      </c>
      <c r="H81" s="9" t="s">
        <v>504</v>
      </c>
      <c r="I81" s="9"/>
      <c r="J81" s="9"/>
      <c r="K81" s="9" t="s">
        <v>114</v>
      </c>
      <c r="L81" s="9" t="s">
        <v>500</v>
      </c>
      <c r="M81" s="9"/>
    </row>
    <row r="82" spans="1:13" ht="30" x14ac:dyDescent="0.25">
      <c r="A82" s="9" t="s">
        <v>126</v>
      </c>
      <c r="B82" s="9" t="s">
        <v>127</v>
      </c>
      <c r="C82" s="9">
        <v>2024</v>
      </c>
      <c r="D82" s="9" t="s">
        <v>399</v>
      </c>
      <c r="E82" s="9" t="s">
        <v>497</v>
      </c>
      <c r="F82" s="9">
        <v>4468</v>
      </c>
      <c r="G82" s="9" t="s">
        <v>498</v>
      </c>
      <c r="H82" s="9" t="s">
        <v>499</v>
      </c>
      <c r="I82" s="9"/>
      <c r="J82" s="9"/>
      <c r="K82" s="9" t="s">
        <v>114</v>
      </c>
      <c r="L82" s="9" t="s">
        <v>500</v>
      </c>
      <c r="M82" s="9"/>
    </row>
    <row r="83" spans="1:13" ht="30" x14ac:dyDescent="0.25">
      <c r="A83" s="9" t="s">
        <v>126</v>
      </c>
      <c r="B83" s="9" t="s">
        <v>127</v>
      </c>
      <c r="C83" s="9">
        <v>2024</v>
      </c>
      <c r="D83" s="9" t="s">
        <v>399</v>
      </c>
      <c r="E83" s="9" t="s">
        <v>501</v>
      </c>
      <c r="F83" s="9">
        <v>7878</v>
      </c>
      <c r="G83" s="9" t="s">
        <v>498</v>
      </c>
      <c r="H83" s="9" t="s">
        <v>499</v>
      </c>
      <c r="I83" s="9"/>
      <c r="J83" s="9"/>
      <c r="K83" s="9" t="s">
        <v>114</v>
      </c>
      <c r="L83" s="9" t="s">
        <v>500</v>
      </c>
      <c r="M83" s="9"/>
    </row>
    <row r="84" spans="1:13" ht="30" x14ac:dyDescent="0.25">
      <c r="A84" s="9" t="s">
        <v>126</v>
      </c>
      <c r="B84" s="9" t="s">
        <v>127</v>
      </c>
      <c r="C84" s="9">
        <v>2024</v>
      </c>
      <c r="D84" s="9" t="s">
        <v>502</v>
      </c>
      <c r="E84" s="9" t="s">
        <v>503</v>
      </c>
      <c r="F84" s="9">
        <v>57</v>
      </c>
      <c r="G84" s="9" t="s">
        <v>380</v>
      </c>
      <c r="H84" s="9" t="s">
        <v>504</v>
      </c>
      <c r="I84" s="9"/>
      <c r="J84" s="9"/>
      <c r="K84" s="9" t="s">
        <v>114</v>
      </c>
      <c r="L84" s="9" t="s">
        <v>500</v>
      </c>
      <c r="M84" s="9"/>
    </row>
    <row r="85" spans="1:13" ht="30" x14ac:dyDescent="0.25">
      <c r="A85" s="9" t="s">
        <v>95</v>
      </c>
      <c r="B85" s="9" t="s">
        <v>505</v>
      </c>
      <c r="C85" s="9">
        <v>2019</v>
      </c>
      <c r="D85" s="9" t="s">
        <v>399</v>
      </c>
      <c r="E85" s="9" t="s">
        <v>506</v>
      </c>
      <c r="F85" s="9">
        <v>6978</v>
      </c>
      <c r="G85" s="9" t="s">
        <v>498</v>
      </c>
      <c r="H85" s="9" t="s">
        <v>507</v>
      </c>
      <c r="I85" s="9" t="s">
        <v>508</v>
      </c>
      <c r="J85" s="9"/>
      <c r="K85" s="9" t="s">
        <v>114</v>
      </c>
      <c r="L85" s="9" t="s">
        <v>509</v>
      </c>
      <c r="M85" s="9" t="s">
        <v>510</v>
      </c>
    </row>
    <row r="86" spans="1:13" ht="30" x14ac:dyDescent="0.25">
      <c r="A86" s="9" t="s">
        <v>169</v>
      </c>
      <c r="B86" s="9" t="s">
        <v>170</v>
      </c>
      <c r="C86" s="9">
        <v>2016</v>
      </c>
      <c r="D86" s="9" t="s">
        <v>390</v>
      </c>
      <c r="E86" s="9" t="s">
        <v>511</v>
      </c>
      <c r="F86" s="9">
        <v>15.9</v>
      </c>
      <c r="G86" s="9" t="s">
        <v>380</v>
      </c>
      <c r="H86" s="9" t="s">
        <v>512</v>
      </c>
      <c r="I86" s="9"/>
      <c r="J86" s="9"/>
      <c r="K86" s="9" t="s">
        <v>184</v>
      </c>
      <c r="L86" s="9" t="s">
        <v>513</v>
      </c>
      <c r="M86" s="9"/>
    </row>
    <row r="87" spans="1:13" ht="30" x14ac:dyDescent="0.25">
      <c r="A87" s="9" t="s">
        <v>169</v>
      </c>
      <c r="B87" s="9" t="s">
        <v>170</v>
      </c>
      <c r="C87" s="9">
        <v>2016</v>
      </c>
      <c r="D87" s="9" t="s">
        <v>390</v>
      </c>
      <c r="E87" s="9" t="s">
        <v>514</v>
      </c>
      <c r="F87" s="9">
        <v>2.9</v>
      </c>
      <c r="G87" s="9" t="s">
        <v>380</v>
      </c>
      <c r="H87" s="9" t="s">
        <v>512</v>
      </c>
      <c r="I87" s="9"/>
      <c r="J87" s="9"/>
      <c r="K87" s="9" t="s">
        <v>184</v>
      </c>
      <c r="L87" s="9" t="s">
        <v>513</v>
      </c>
      <c r="M87" s="9"/>
    </row>
    <row r="88" spans="1:13" ht="30" x14ac:dyDescent="0.25">
      <c r="A88" s="9" t="s">
        <v>169</v>
      </c>
      <c r="B88" s="9" t="s">
        <v>170</v>
      </c>
      <c r="C88" s="9">
        <v>2016</v>
      </c>
      <c r="D88" s="9" t="s">
        <v>390</v>
      </c>
      <c r="E88" s="9" t="s">
        <v>515</v>
      </c>
      <c r="F88" s="9">
        <v>380000</v>
      </c>
      <c r="G88" s="9" t="s">
        <v>458</v>
      </c>
      <c r="H88" s="9" t="s">
        <v>172</v>
      </c>
      <c r="I88" s="9"/>
      <c r="J88" s="9"/>
      <c r="K88" s="9" t="s">
        <v>184</v>
      </c>
      <c r="L88" s="9" t="s">
        <v>513</v>
      </c>
      <c r="M88" s="9"/>
    </row>
    <row r="89" spans="1:13" ht="30" x14ac:dyDescent="0.25">
      <c r="A89" s="9" t="s">
        <v>169</v>
      </c>
      <c r="B89" s="9" t="s">
        <v>170</v>
      </c>
      <c r="C89" s="9">
        <v>2016</v>
      </c>
      <c r="D89" s="9" t="s">
        <v>399</v>
      </c>
      <c r="E89" s="9" t="s">
        <v>516</v>
      </c>
      <c r="F89" s="9">
        <v>180113</v>
      </c>
      <c r="G89" s="9" t="s">
        <v>458</v>
      </c>
      <c r="H89" s="9" t="s">
        <v>517</v>
      </c>
      <c r="I89" s="9"/>
      <c r="J89" s="9"/>
      <c r="K89" s="9" t="s">
        <v>184</v>
      </c>
      <c r="L89" s="9" t="s">
        <v>513</v>
      </c>
      <c r="M89" s="9"/>
    </row>
    <row r="90" spans="1:13" ht="30" x14ac:dyDescent="0.25">
      <c r="A90" s="9" t="s">
        <v>169</v>
      </c>
      <c r="B90" s="9" t="s">
        <v>186</v>
      </c>
      <c r="C90" s="9">
        <v>2017</v>
      </c>
      <c r="D90" s="9" t="s">
        <v>390</v>
      </c>
      <c r="E90" s="9" t="s">
        <v>511</v>
      </c>
      <c r="F90" s="9">
        <v>18.7</v>
      </c>
      <c r="G90" s="9" t="s">
        <v>380</v>
      </c>
      <c r="H90" s="9" t="s">
        <v>512</v>
      </c>
      <c r="I90" s="9"/>
      <c r="J90" s="9"/>
      <c r="K90" s="9" t="s">
        <v>184</v>
      </c>
      <c r="L90" s="9" t="s">
        <v>513</v>
      </c>
      <c r="M90" s="9"/>
    </row>
    <row r="91" spans="1:13" ht="30" x14ac:dyDescent="0.25">
      <c r="A91" s="9" t="s">
        <v>169</v>
      </c>
      <c r="B91" s="9" t="s">
        <v>186</v>
      </c>
      <c r="C91" s="9">
        <v>2017</v>
      </c>
      <c r="D91" s="9" t="s">
        <v>390</v>
      </c>
      <c r="E91" s="9" t="s">
        <v>514</v>
      </c>
      <c r="F91" s="9">
        <v>2.9</v>
      </c>
      <c r="G91" s="9" t="s">
        <v>380</v>
      </c>
      <c r="H91" s="9" t="s">
        <v>512</v>
      </c>
      <c r="I91" s="9"/>
      <c r="J91" s="9"/>
      <c r="K91" s="9" t="s">
        <v>184</v>
      </c>
      <c r="L91" s="9" t="s">
        <v>513</v>
      </c>
      <c r="M91" s="9"/>
    </row>
    <row r="92" spans="1:13" ht="30" x14ac:dyDescent="0.25">
      <c r="A92" s="9" t="s">
        <v>169</v>
      </c>
      <c r="B92" s="9" t="s">
        <v>186</v>
      </c>
      <c r="C92" s="9">
        <v>2017</v>
      </c>
      <c r="D92" s="9" t="s">
        <v>390</v>
      </c>
      <c r="E92" s="9" t="s">
        <v>515</v>
      </c>
      <c r="F92" s="9">
        <v>360000</v>
      </c>
      <c r="G92" s="9" t="s">
        <v>458</v>
      </c>
      <c r="H92" s="9" t="s">
        <v>172</v>
      </c>
      <c r="I92" s="9"/>
      <c r="J92" s="9"/>
      <c r="K92" s="9" t="s">
        <v>184</v>
      </c>
      <c r="L92" s="9" t="s">
        <v>513</v>
      </c>
      <c r="M92" s="9"/>
    </row>
    <row r="93" spans="1:13" ht="30" x14ac:dyDescent="0.25">
      <c r="A93" s="9" t="s">
        <v>169</v>
      </c>
      <c r="B93" s="9" t="s">
        <v>186</v>
      </c>
      <c r="C93" s="9">
        <v>2017</v>
      </c>
      <c r="D93" s="9" t="s">
        <v>399</v>
      </c>
      <c r="E93" s="9" t="s">
        <v>516</v>
      </c>
      <c r="F93" s="9">
        <v>158290</v>
      </c>
      <c r="G93" s="9" t="s">
        <v>458</v>
      </c>
      <c r="H93" s="9" t="s">
        <v>517</v>
      </c>
      <c r="I93" s="9"/>
      <c r="J93" s="9"/>
      <c r="K93" s="9" t="s">
        <v>184</v>
      </c>
      <c r="L93" s="9" t="s">
        <v>513</v>
      </c>
      <c r="M93" s="9"/>
    </row>
    <row r="94" spans="1:13" ht="30" x14ac:dyDescent="0.25">
      <c r="A94" s="9" t="s">
        <v>169</v>
      </c>
      <c r="B94" s="9" t="s">
        <v>188</v>
      </c>
      <c r="C94" s="9">
        <v>2018</v>
      </c>
      <c r="D94" s="9" t="s">
        <v>390</v>
      </c>
      <c r="E94" s="9" t="s">
        <v>511</v>
      </c>
      <c r="F94" s="9">
        <v>22.5</v>
      </c>
      <c r="G94" s="9" t="s">
        <v>380</v>
      </c>
      <c r="H94" s="9" t="s">
        <v>512</v>
      </c>
      <c r="I94" s="9"/>
      <c r="J94" s="9"/>
      <c r="K94" s="9" t="s">
        <v>184</v>
      </c>
      <c r="L94" s="9" t="s">
        <v>513</v>
      </c>
      <c r="M94" s="9"/>
    </row>
    <row r="95" spans="1:13" ht="30" x14ac:dyDescent="0.25">
      <c r="A95" s="9" t="s">
        <v>169</v>
      </c>
      <c r="B95" s="9" t="s">
        <v>188</v>
      </c>
      <c r="C95" s="9">
        <v>2018</v>
      </c>
      <c r="D95" s="9" t="s">
        <v>390</v>
      </c>
      <c r="E95" s="9" t="s">
        <v>514</v>
      </c>
      <c r="F95" s="9">
        <v>4.8</v>
      </c>
      <c r="G95" s="9" t="s">
        <v>380</v>
      </c>
      <c r="H95" s="9" t="s">
        <v>512</v>
      </c>
      <c r="I95" s="9"/>
      <c r="J95" s="9"/>
      <c r="K95" s="9" t="s">
        <v>184</v>
      </c>
      <c r="L95" s="9" t="s">
        <v>513</v>
      </c>
      <c r="M95" s="9"/>
    </row>
    <row r="96" spans="1:13" ht="30" x14ac:dyDescent="0.25">
      <c r="A96" s="9" t="s">
        <v>169</v>
      </c>
      <c r="B96" s="9" t="s">
        <v>188</v>
      </c>
      <c r="C96" s="9">
        <v>2018</v>
      </c>
      <c r="D96" s="9" t="s">
        <v>390</v>
      </c>
      <c r="E96" s="9" t="s">
        <v>515</v>
      </c>
      <c r="F96" s="9">
        <v>550000</v>
      </c>
      <c r="G96" s="9" t="s">
        <v>458</v>
      </c>
      <c r="H96" s="9" t="s">
        <v>172</v>
      </c>
      <c r="I96" s="9"/>
      <c r="J96" s="9"/>
      <c r="K96" s="9" t="s">
        <v>184</v>
      </c>
      <c r="L96" s="9" t="s">
        <v>513</v>
      </c>
      <c r="M96" s="9"/>
    </row>
    <row r="97" spans="1:13" ht="30" x14ac:dyDescent="0.25">
      <c r="A97" s="9" t="s">
        <v>169</v>
      </c>
      <c r="B97" s="9" t="s">
        <v>188</v>
      </c>
      <c r="C97" s="9">
        <v>2018</v>
      </c>
      <c r="D97" s="9" t="s">
        <v>399</v>
      </c>
      <c r="E97" s="9" t="s">
        <v>516</v>
      </c>
      <c r="F97" s="9">
        <v>242579</v>
      </c>
      <c r="G97" s="9" t="s">
        <v>458</v>
      </c>
      <c r="H97" s="9" t="s">
        <v>517</v>
      </c>
      <c r="I97" s="9"/>
      <c r="J97" s="9"/>
      <c r="K97" s="9" t="s">
        <v>184</v>
      </c>
      <c r="L97" s="9" t="s">
        <v>513</v>
      </c>
      <c r="M97" s="9"/>
    </row>
    <row r="98" spans="1:13" ht="30" x14ac:dyDescent="0.25">
      <c r="A98" s="9" t="s">
        <v>169</v>
      </c>
      <c r="B98" s="9" t="s">
        <v>190</v>
      </c>
      <c r="C98" s="9">
        <v>2019</v>
      </c>
      <c r="D98" s="9" t="s">
        <v>390</v>
      </c>
      <c r="E98" s="9" t="s">
        <v>511</v>
      </c>
      <c r="F98" s="9">
        <v>24.4</v>
      </c>
      <c r="G98" s="9" t="s">
        <v>380</v>
      </c>
      <c r="H98" s="9" t="s">
        <v>512</v>
      </c>
      <c r="I98" s="9"/>
      <c r="J98" s="9"/>
      <c r="K98" s="9" t="s">
        <v>184</v>
      </c>
      <c r="L98" s="9" t="s">
        <v>513</v>
      </c>
      <c r="M98" s="9"/>
    </row>
    <row r="99" spans="1:13" ht="30" x14ac:dyDescent="0.25">
      <c r="A99" s="9" t="s">
        <v>169</v>
      </c>
      <c r="B99" s="9" t="s">
        <v>190</v>
      </c>
      <c r="C99" s="9">
        <v>2019</v>
      </c>
      <c r="D99" s="9" t="s">
        <v>390</v>
      </c>
      <c r="E99" s="9" t="s">
        <v>514</v>
      </c>
      <c r="F99" s="9">
        <v>4.3</v>
      </c>
      <c r="G99" s="9" t="s">
        <v>380</v>
      </c>
      <c r="H99" s="9" t="s">
        <v>512</v>
      </c>
      <c r="I99" s="9"/>
      <c r="J99" s="9"/>
      <c r="K99" s="9" t="s">
        <v>184</v>
      </c>
      <c r="L99" s="9" t="s">
        <v>513</v>
      </c>
      <c r="M99" s="9"/>
    </row>
    <row r="100" spans="1:13" ht="30" x14ac:dyDescent="0.25">
      <c r="A100" s="9" t="s">
        <v>169</v>
      </c>
      <c r="B100" s="9" t="s">
        <v>190</v>
      </c>
      <c r="C100" s="9">
        <v>2019</v>
      </c>
      <c r="D100" s="9" t="s">
        <v>390</v>
      </c>
      <c r="E100" s="9" t="s">
        <v>515</v>
      </c>
      <c r="F100" s="9">
        <v>520000</v>
      </c>
      <c r="G100" s="9" t="s">
        <v>458</v>
      </c>
      <c r="H100" s="9" t="s">
        <v>172</v>
      </c>
      <c r="I100" s="9"/>
      <c r="J100" s="9"/>
      <c r="K100" s="9" t="s">
        <v>184</v>
      </c>
      <c r="L100" s="9" t="s">
        <v>513</v>
      </c>
      <c r="M100" s="9"/>
    </row>
    <row r="101" spans="1:13" ht="30" x14ac:dyDescent="0.25">
      <c r="A101" s="9" t="s">
        <v>169</v>
      </c>
      <c r="B101" s="9" t="s">
        <v>190</v>
      </c>
      <c r="C101" s="9">
        <v>2019</v>
      </c>
      <c r="D101" s="9" t="s">
        <v>399</v>
      </c>
      <c r="E101" s="9" t="s">
        <v>516</v>
      </c>
      <c r="F101" s="9">
        <v>203892</v>
      </c>
      <c r="G101" s="9" t="s">
        <v>458</v>
      </c>
      <c r="H101" s="9" t="s">
        <v>517</v>
      </c>
      <c r="I101" s="9"/>
      <c r="J101" s="9"/>
      <c r="K101" s="9" t="s">
        <v>184</v>
      </c>
      <c r="L101" s="9" t="s">
        <v>513</v>
      </c>
      <c r="M101" s="9"/>
    </row>
    <row r="102" spans="1:13" ht="30" x14ac:dyDescent="0.25">
      <c r="A102" s="9" t="s">
        <v>169</v>
      </c>
      <c r="B102" s="9" t="s">
        <v>170</v>
      </c>
      <c r="C102" s="9">
        <v>2016</v>
      </c>
      <c r="D102" s="9" t="s">
        <v>378</v>
      </c>
      <c r="E102" s="9" t="s">
        <v>518</v>
      </c>
      <c r="F102" s="9">
        <v>82.9</v>
      </c>
      <c r="G102" s="9" t="s">
        <v>380</v>
      </c>
      <c r="H102" s="9" t="s">
        <v>519</v>
      </c>
      <c r="I102" s="9"/>
      <c r="J102" s="9"/>
      <c r="K102" s="9" t="s">
        <v>520</v>
      </c>
      <c r="L102" s="9" t="s">
        <v>521</v>
      </c>
      <c r="M102" s="9"/>
    </row>
    <row r="103" spans="1:13" ht="30" x14ac:dyDescent="0.25">
      <c r="A103" s="9" t="s">
        <v>169</v>
      </c>
      <c r="B103" s="9" t="s">
        <v>170</v>
      </c>
      <c r="C103" s="9">
        <v>2016</v>
      </c>
      <c r="D103" s="9" t="s">
        <v>390</v>
      </c>
      <c r="E103" s="9" t="s">
        <v>522</v>
      </c>
      <c r="F103" s="9">
        <v>30.8</v>
      </c>
      <c r="G103" s="9" t="s">
        <v>380</v>
      </c>
      <c r="H103" s="9" t="s">
        <v>523</v>
      </c>
      <c r="I103" s="9"/>
      <c r="J103" s="9"/>
      <c r="K103" s="9" t="s">
        <v>520</v>
      </c>
      <c r="L103" s="9" t="s">
        <v>521</v>
      </c>
      <c r="M103" s="9"/>
    </row>
    <row r="104" spans="1:13" ht="30" x14ac:dyDescent="0.25">
      <c r="A104" s="9" t="s">
        <v>169</v>
      </c>
      <c r="B104" s="9" t="s">
        <v>524</v>
      </c>
      <c r="C104" s="9"/>
      <c r="D104" s="9" t="s">
        <v>525</v>
      </c>
      <c r="E104" s="9" t="s">
        <v>526</v>
      </c>
      <c r="F104" s="9">
        <v>12500000</v>
      </c>
      <c r="G104" s="9" t="s">
        <v>527</v>
      </c>
      <c r="H104" s="9" t="s">
        <v>528</v>
      </c>
      <c r="I104" s="9"/>
      <c r="J104" s="9"/>
      <c r="K104" s="9" t="s">
        <v>520</v>
      </c>
      <c r="L104" s="9" t="s">
        <v>495</v>
      </c>
      <c r="M104" s="9"/>
    </row>
    <row r="105" spans="1:13" ht="30" x14ac:dyDescent="0.25">
      <c r="A105" s="9" t="s">
        <v>169</v>
      </c>
      <c r="B105" s="9" t="s">
        <v>529</v>
      </c>
      <c r="C105" s="9"/>
      <c r="D105" s="9" t="s">
        <v>525</v>
      </c>
      <c r="E105" s="9" t="s">
        <v>530</v>
      </c>
      <c r="F105" s="9">
        <v>94000000</v>
      </c>
      <c r="G105" s="9" t="s">
        <v>527</v>
      </c>
      <c r="H105" s="9" t="s">
        <v>531</v>
      </c>
      <c r="I105" s="9"/>
      <c r="J105" s="9"/>
      <c r="K105" s="9" t="s">
        <v>520</v>
      </c>
      <c r="L105" s="9" t="s">
        <v>495</v>
      </c>
      <c r="M105" s="9"/>
    </row>
    <row r="106" spans="1:13" ht="30" x14ac:dyDescent="0.25">
      <c r="A106" s="9" t="s">
        <v>169</v>
      </c>
      <c r="B106" s="9" t="s">
        <v>529</v>
      </c>
      <c r="C106" s="9"/>
      <c r="D106" s="9" t="s">
        <v>525</v>
      </c>
      <c r="E106" s="9" t="s">
        <v>532</v>
      </c>
      <c r="F106" s="9">
        <v>7</v>
      </c>
      <c r="G106" s="9" t="s">
        <v>533</v>
      </c>
      <c r="H106" s="9" t="s">
        <v>534</v>
      </c>
      <c r="I106" s="9"/>
      <c r="J106" s="9"/>
      <c r="K106" s="9" t="s">
        <v>520</v>
      </c>
      <c r="L106" s="9" t="s">
        <v>495</v>
      </c>
      <c r="M106" s="9"/>
    </row>
    <row r="107" spans="1:13" ht="30" x14ac:dyDescent="0.25">
      <c r="A107" s="9" t="s">
        <v>535</v>
      </c>
      <c r="B107" s="9" t="s">
        <v>536</v>
      </c>
      <c r="C107" s="9"/>
      <c r="D107" s="9" t="s">
        <v>390</v>
      </c>
      <c r="E107" s="9" t="s">
        <v>537</v>
      </c>
      <c r="F107" s="9">
        <v>21.9</v>
      </c>
      <c r="G107" s="9" t="s">
        <v>380</v>
      </c>
      <c r="H107" s="9" t="s">
        <v>538</v>
      </c>
      <c r="I107" s="9"/>
      <c r="J107" s="9"/>
      <c r="K107" s="9" t="s">
        <v>539</v>
      </c>
      <c r="L107" s="9" t="s">
        <v>445</v>
      </c>
      <c r="M107" s="9" t="s">
        <v>540</v>
      </c>
    </row>
    <row r="108" spans="1:13" ht="30" x14ac:dyDescent="0.25">
      <c r="A108" s="9" t="s">
        <v>535</v>
      </c>
      <c r="B108" s="9" t="s">
        <v>536</v>
      </c>
      <c r="C108" s="9"/>
      <c r="D108" s="9" t="s">
        <v>384</v>
      </c>
      <c r="E108" s="9" t="s">
        <v>541</v>
      </c>
      <c r="F108" s="9">
        <v>78</v>
      </c>
      <c r="G108" s="9" t="s">
        <v>380</v>
      </c>
      <c r="H108" s="9" t="s">
        <v>542</v>
      </c>
      <c r="I108" s="9"/>
      <c r="J108" s="9"/>
      <c r="K108" s="9" t="s">
        <v>539</v>
      </c>
      <c r="L108" s="9" t="s">
        <v>445</v>
      </c>
      <c r="M108" s="9" t="s">
        <v>543</v>
      </c>
    </row>
    <row r="109" spans="1:13" ht="30" x14ac:dyDescent="0.25">
      <c r="A109" s="9" t="s">
        <v>535</v>
      </c>
      <c r="B109" s="9" t="s">
        <v>544</v>
      </c>
      <c r="C109" s="9"/>
      <c r="D109" s="9" t="s">
        <v>390</v>
      </c>
      <c r="E109" s="9" t="s">
        <v>545</v>
      </c>
      <c r="F109" s="9">
        <v>27.5</v>
      </c>
      <c r="G109" s="9" t="s">
        <v>380</v>
      </c>
      <c r="H109" s="9" t="s">
        <v>546</v>
      </c>
      <c r="I109" s="9" t="s">
        <v>547</v>
      </c>
      <c r="J109" s="9" t="s">
        <v>394</v>
      </c>
      <c r="K109" s="9" t="s">
        <v>539</v>
      </c>
      <c r="L109" s="9" t="s">
        <v>548</v>
      </c>
      <c r="M109" s="9"/>
    </row>
    <row r="110" spans="1:13" ht="30" x14ac:dyDescent="0.25">
      <c r="A110" s="9" t="s">
        <v>535</v>
      </c>
      <c r="B110" s="9" t="s">
        <v>549</v>
      </c>
      <c r="C110" s="9"/>
      <c r="D110" s="9" t="s">
        <v>390</v>
      </c>
      <c r="E110" s="9" t="s">
        <v>550</v>
      </c>
      <c r="F110" s="9">
        <v>12.6</v>
      </c>
      <c r="G110" s="9" t="s">
        <v>380</v>
      </c>
      <c r="H110" s="9" t="s">
        <v>546</v>
      </c>
      <c r="I110" s="9" t="s">
        <v>551</v>
      </c>
      <c r="J110" s="9" t="s">
        <v>415</v>
      </c>
      <c r="K110" s="9" t="s">
        <v>539</v>
      </c>
      <c r="L110" s="9" t="s">
        <v>548</v>
      </c>
      <c r="M110" s="9"/>
    </row>
    <row r="111" spans="1:13" ht="30" x14ac:dyDescent="0.25">
      <c r="A111" s="9" t="s">
        <v>192</v>
      </c>
      <c r="B111" s="9" t="s">
        <v>193</v>
      </c>
      <c r="C111" s="9">
        <v>2002</v>
      </c>
      <c r="D111" s="9" t="s">
        <v>378</v>
      </c>
      <c r="E111" s="9" t="s">
        <v>425</v>
      </c>
      <c r="F111" s="9">
        <v>36</v>
      </c>
      <c r="G111" s="9" t="s">
        <v>380</v>
      </c>
      <c r="H111" s="9" t="s">
        <v>88</v>
      </c>
      <c r="I111" s="9" t="s">
        <v>552</v>
      </c>
      <c r="J111" s="9" t="s">
        <v>553</v>
      </c>
      <c r="K111" s="9" t="s">
        <v>202</v>
      </c>
      <c r="L111" s="9" t="s">
        <v>554</v>
      </c>
      <c r="M111" s="9" t="s">
        <v>555</v>
      </c>
    </row>
    <row r="112" spans="1:13" ht="30" x14ac:dyDescent="0.25">
      <c r="A112" s="9" t="s">
        <v>192</v>
      </c>
      <c r="B112" s="9" t="s">
        <v>193</v>
      </c>
      <c r="C112" s="9">
        <v>2002</v>
      </c>
      <c r="D112" s="9" t="s">
        <v>378</v>
      </c>
      <c r="E112" s="9" t="s">
        <v>556</v>
      </c>
      <c r="F112" s="9">
        <v>57</v>
      </c>
      <c r="G112" s="9" t="s">
        <v>380</v>
      </c>
      <c r="H112" s="9" t="s">
        <v>88</v>
      </c>
      <c r="I112" s="9"/>
      <c r="J112" s="9"/>
      <c r="K112" s="9" t="s">
        <v>202</v>
      </c>
      <c r="L112" s="9" t="s">
        <v>554</v>
      </c>
      <c r="M112" s="9"/>
    </row>
    <row r="113" spans="1:13" ht="30" x14ac:dyDescent="0.25">
      <c r="A113" s="9" t="s">
        <v>192</v>
      </c>
      <c r="B113" s="9" t="s">
        <v>193</v>
      </c>
      <c r="C113" s="9">
        <v>2002</v>
      </c>
      <c r="D113" s="9" t="s">
        <v>557</v>
      </c>
      <c r="E113" s="9" t="s">
        <v>447</v>
      </c>
      <c r="F113" s="9">
        <v>83</v>
      </c>
      <c r="G113" s="9" t="s">
        <v>380</v>
      </c>
      <c r="H113" s="9" t="s">
        <v>558</v>
      </c>
      <c r="I113" s="9"/>
      <c r="J113" s="9"/>
      <c r="K113" s="9" t="s">
        <v>202</v>
      </c>
      <c r="L113" s="9" t="s">
        <v>559</v>
      </c>
      <c r="M113" s="9" t="s">
        <v>560</v>
      </c>
    </row>
    <row r="114" spans="1:13" ht="45" x14ac:dyDescent="0.25">
      <c r="A114" s="9" t="s">
        <v>192</v>
      </c>
      <c r="B114" s="9" t="s">
        <v>193</v>
      </c>
      <c r="C114" s="9">
        <v>2002</v>
      </c>
      <c r="D114" s="9" t="s">
        <v>561</v>
      </c>
      <c r="E114" s="9" t="s">
        <v>562</v>
      </c>
      <c r="F114" s="9">
        <v>51</v>
      </c>
      <c r="G114" s="9" t="s">
        <v>380</v>
      </c>
      <c r="H114" s="9" t="s">
        <v>563</v>
      </c>
      <c r="I114" s="9" t="s">
        <v>564</v>
      </c>
      <c r="J114" s="9" t="s">
        <v>565</v>
      </c>
      <c r="K114" s="9" t="s">
        <v>202</v>
      </c>
      <c r="L114" s="9" t="s">
        <v>559</v>
      </c>
      <c r="M114" s="9" t="s">
        <v>566</v>
      </c>
    </row>
    <row r="115" spans="1:13" ht="30" x14ac:dyDescent="0.25">
      <c r="A115" s="9" t="s">
        <v>204</v>
      </c>
      <c r="B115" s="9" t="s">
        <v>205</v>
      </c>
      <c r="C115" s="9">
        <v>2002</v>
      </c>
      <c r="D115" s="9" t="s">
        <v>378</v>
      </c>
      <c r="E115" s="9" t="s">
        <v>567</v>
      </c>
      <c r="F115" s="9">
        <v>94</v>
      </c>
      <c r="G115" s="9" t="s">
        <v>380</v>
      </c>
      <c r="H115" s="9" t="s">
        <v>568</v>
      </c>
      <c r="I115" s="9"/>
      <c r="J115" s="9"/>
      <c r="K115" s="9" t="s">
        <v>217</v>
      </c>
      <c r="L115" s="9" t="s">
        <v>569</v>
      </c>
      <c r="M115" s="9" t="s">
        <v>570</v>
      </c>
    </row>
    <row r="116" spans="1:13" ht="30" x14ac:dyDescent="0.25">
      <c r="A116" s="9" t="s">
        <v>204</v>
      </c>
      <c r="B116" s="9" t="s">
        <v>205</v>
      </c>
      <c r="C116" s="9">
        <v>2002</v>
      </c>
      <c r="D116" s="9" t="s">
        <v>557</v>
      </c>
      <c r="E116" s="9" t="s">
        <v>571</v>
      </c>
      <c r="F116" s="9">
        <v>54</v>
      </c>
      <c r="G116" s="9" t="s">
        <v>380</v>
      </c>
      <c r="H116" s="9" t="s">
        <v>572</v>
      </c>
      <c r="I116" s="9"/>
      <c r="J116" s="9"/>
      <c r="K116" s="9" t="s">
        <v>217</v>
      </c>
      <c r="L116" s="9" t="s">
        <v>573</v>
      </c>
      <c r="M116" s="9"/>
    </row>
    <row r="117" spans="1:13" ht="30" x14ac:dyDescent="0.25">
      <c r="A117" s="9" t="s">
        <v>204</v>
      </c>
      <c r="B117" s="9" t="s">
        <v>205</v>
      </c>
      <c r="C117" s="9">
        <v>2002</v>
      </c>
      <c r="D117" s="9" t="s">
        <v>574</v>
      </c>
      <c r="E117" s="9" t="s">
        <v>575</v>
      </c>
      <c r="F117" s="9">
        <v>56</v>
      </c>
      <c r="G117" s="9" t="s">
        <v>380</v>
      </c>
      <c r="H117" s="9" t="s">
        <v>572</v>
      </c>
      <c r="I117" s="9"/>
      <c r="J117" s="9"/>
      <c r="K117" s="9" t="s">
        <v>217</v>
      </c>
      <c r="L117" s="9" t="s">
        <v>573</v>
      </c>
      <c r="M117" s="9" t="s">
        <v>576</v>
      </c>
    </row>
    <row r="118" spans="1:13" ht="30" x14ac:dyDescent="0.25">
      <c r="A118" s="9" t="s">
        <v>204</v>
      </c>
      <c r="B118" s="9" t="s">
        <v>205</v>
      </c>
      <c r="C118" s="9">
        <v>2002</v>
      </c>
      <c r="D118" s="9" t="s">
        <v>574</v>
      </c>
      <c r="E118" s="9" t="s">
        <v>577</v>
      </c>
      <c r="F118" s="9">
        <v>66</v>
      </c>
      <c r="G118" s="9" t="s">
        <v>380</v>
      </c>
      <c r="H118" s="9" t="s">
        <v>572</v>
      </c>
      <c r="I118" s="9"/>
      <c r="J118" s="9"/>
      <c r="K118" s="9" t="s">
        <v>217</v>
      </c>
      <c r="L118" s="9" t="s">
        <v>573</v>
      </c>
      <c r="M118" s="9"/>
    </row>
    <row r="119" spans="1:13" ht="60" x14ac:dyDescent="0.25">
      <c r="A119" s="9" t="s">
        <v>204</v>
      </c>
      <c r="B119" s="9" t="s">
        <v>205</v>
      </c>
      <c r="C119" s="9">
        <v>2002</v>
      </c>
      <c r="D119" s="9" t="s">
        <v>390</v>
      </c>
      <c r="E119" s="9" t="s">
        <v>578</v>
      </c>
      <c r="F119" s="9">
        <v>-10</v>
      </c>
      <c r="G119" s="9" t="s">
        <v>579</v>
      </c>
      <c r="H119" s="9" t="s">
        <v>580</v>
      </c>
      <c r="I119" s="9" t="s">
        <v>581</v>
      </c>
      <c r="J119" s="9" t="s">
        <v>582</v>
      </c>
      <c r="K119" s="9" t="s">
        <v>217</v>
      </c>
      <c r="L119" s="9" t="s">
        <v>583</v>
      </c>
      <c r="M119" s="9" t="s">
        <v>584</v>
      </c>
    </row>
    <row r="120" spans="1:13" ht="30" x14ac:dyDescent="0.25">
      <c r="A120" s="9" t="s">
        <v>219</v>
      </c>
      <c r="B120" s="9" t="s">
        <v>220</v>
      </c>
      <c r="C120" s="9">
        <v>2009</v>
      </c>
      <c r="D120" s="9" t="s">
        <v>390</v>
      </c>
      <c r="E120" s="9" t="s">
        <v>585</v>
      </c>
      <c r="F120" s="9">
        <v>34.299999999999997</v>
      </c>
      <c r="G120" s="9" t="s">
        <v>380</v>
      </c>
      <c r="H120" s="9" t="s">
        <v>586</v>
      </c>
      <c r="I120" s="9" t="s">
        <v>587</v>
      </c>
      <c r="J120" s="9"/>
      <c r="K120" s="9" t="s">
        <v>235</v>
      </c>
      <c r="L120" s="9" t="s">
        <v>588</v>
      </c>
      <c r="M120" s="9" t="s">
        <v>589</v>
      </c>
    </row>
    <row r="121" spans="1:13" ht="30" x14ac:dyDescent="0.25">
      <c r="A121" s="9" t="s">
        <v>219</v>
      </c>
      <c r="B121" s="9" t="s">
        <v>220</v>
      </c>
      <c r="C121" s="9">
        <v>2009</v>
      </c>
      <c r="D121" s="9" t="s">
        <v>502</v>
      </c>
      <c r="E121" s="9" t="s">
        <v>590</v>
      </c>
      <c r="F121" s="9">
        <v>88</v>
      </c>
      <c r="G121" s="9" t="s">
        <v>380</v>
      </c>
      <c r="H121" s="9" t="s">
        <v>591</v>
      </c>
      <c r="I121" s="9" t="s">
        <v>592</v>
      </c>
      <c r="J121" s="9"/>
      <c r="K121" s="9" t="s">
        <v>235</v>
      </c>
      <c r="L121" s="9" t="s">
        <v>593</v>
      </c>
      <c r="M121" s="9"/>
    </row>
    <row r="122" spans="1:13" ht="30" x14ac:dyDescent="0.25">
      <c r="A122" s="9" t="s">
        <v>219</v>
      </c>
      <c r="B122" s="9" t="s">
        <v>220</v>
      </c>
      <c r="C122" s="9">
        <v>2009</v>
      </c>
      <c r="D122" s="9" t="s">
        <v>594</v>
      </c>
      <c r="E122" s="9" t="s">
        <v>595</v>
      </c>
      <c r="F122" s="9">
        <v>2.8</v>
      </c>
      <c r="G122" s="9" t="s">
        <v>380</v>
      </c>
      <c r="H122" s="9" t="s">
        <v>164</v>
      </c>
      <c r="I122" s="9"/>
      <c r="J122" s="9"/>
      <c r="K122" s="9" t="s">
        <v>235</v>
      </c>
      <c r="L122" s="9" t="s">
        <v>596</v>
      </c>
      <c r="M122" s="9" t="s">
        <v>597</v>
      </c>
    </row>
    <row r="123" spans="1:13" ht="45" x14ac:dyDescent="0.25">
      <c r="A123" s="9" t="s">
        <v>237</v>
      </c>
      <c r="B123" s="9" t="s">
        <v>238</v>
      </c>
      <c r="C123" s="9">
        <v>2018</v>
      </c>
      <c r="D123" s="9" t="s">
        <v>598</v>
      </c>
      <c r="E123" s="9" t="s">
        <v>599</v>
      </c>
      <c r="F123" s="9">
        <v>47</v>
      </c>
      <c r="G123" s="9" t="s">
        <v>579</v>
      </c>
      <c r="H123" s="9" t="s">
        <v>600</v>
      </c>
      <c r="I123" s="9"/>
      <c r="J123" s="9"/>
      <c r="K123" s="9" t="s">
        <v>253</v>
      </c>
      <c r="L123" s="9" t="s">
        <v>601</v>
      </c>
      <c r="M123" s="9" t="s">
        <v>602</v>
      </c>
    </row>
    <row r="124" spans="1:13" ht="45" x14ac:dyDescent="0.25">
      <c r="A124" s="9" t="s">
        <v>237</v>
      </c>
      <c r="B124" s="9" t="s">
        <v>238</v>
      </c>
      <c r="C124" s="9">
        <v>2018</v>
      </c>
      <c r="D124" s="9" t="s">
        <v>603</v>
      </c>
      <c r="E124" s="9" t="s">
        <v>604</v>
      </c>
      <c r="F124" s="9">
        <v>23955</v>
      </c>
      <c r="G124" s="9" t="s">
        <v>251</v>
      </c>
      <c r="H124" s="9" t="s">
        <v>605</v>
      </c>
      <c r="I124" s="9"/>
      <c r="J124" s="9"/>
      <c r="K124" s="9" t="s">
        <v>253</v>
      </c>
      <c r="L124" s="9" t="s">
        <v>606</v>
      </c>
      <c r="M124" s="9" t="s">
        <v>607</v>
      </c>
    </row>
    <row r="125" spans="1:13" ht="45" x14ac:dyDescent="0.25">
      <c r="A125" s="9" t="s">
        <v>237</v>
      </c>
      <c r="B125" s="9" t="s">
        <v>238</v>
      </c>
      <c r="C125" s="9">
        <v>2018</v>
      </c>
      <c r="D125" s="9" t="s">
        <v>608</v>
      </c>
      <c r="E125" s="9" t="s">
        <v>609</v>
      </c>
      <c r="F125" s="9">
        <v>39</v>
      </c>
      <c r="G125" s="9" t="s">
        <v>610</v>
      </c>
      <c r="H125" s="9" t="s">
        <v>241</v>
      </c>
      <c r="I125" s="9"/>
      <c r="J125" s="9"/>
      <c r="K125" s="9" t="s">
        <v>253</v>
      </c>
      <c r="L125" s="9" t="s">
        <v>611</v>
      </c>
      <c r="M125" s="9" t="s">
        <v>612</v>
      </c>
    </row>
    <row r="126" spans="1:13" ht="75" x14ac:dyDescent="0.25">
      <c r="A126" s="9" t="s">
        <v>255</v>
      </c>
      <c r="B126" s="9" t="s">
        <v>256</v>
      </c>
      <c r="C126" s="9">
        <v>2015</v>
      </c>
      <c r="D126" s="9" t="s">
        <v>378</v>
      </c>
      <c r="E126" s="9" t="s">
        <v>613</v>
      </c>
      <c r="F126" s="9">
        <v>28</v>
      </c>
      <c r="G126" s="9" t="s">
        <v>380</v>
      </c>
      <c r="H126" s="9" t="s">
        <v>614</v>
      </c>
      <c r="I126" s="9"/>
      <c r="J126" s="9"/>
      <c r="K126" s="9" t="s">
        <v>267</v>
      </c>
      <c r="L126" s="9" t="s">
        <v>615</v>
      </c>
      <c r="M126" s="9"/>
    </row>
    <row r="127" spans="1:13" ht="75" x14ac:dyDescent="0.25">
      <c r="A127" s="9" t="s">
        <v>255</v>
      </c>
      <c r="B127" s="9" t="s">
        <v>256</v>
      </c>
      <c r="C127" s="9">
        <v>2015</v>
      </c>
      <c r="D127" s="9" t="s">
        <v>378</v>
      </c>
      <c r="E127" s="9" t="s">
        <v>616</v>
      </c>
      <c r="F127" s="9">
        <v>2</v>
      </c>
      <c r="G127" s="9" t="s">
        <v>380</v>
      </c>
      <c r="H127" s="9" t="s">
        <v>614</v>
      </c>
      <c r="I127" s="9"/>
      <c r="J127" s="9"/>
      <c r="K127" s="9" t="s">
        <v>267</v>
      </c>
      <c r="L127" s="9" t="s">
        <v>617</v>
      </c>
      <c r="M127" s="9"/>
    </row>
    <row r="128" spans="1:13" ht="75" x14ac:dyDescent="0.25">
      <c r="A128" s="9" t="s">
        <v>255</v>
      </c>
      <c r="B128" s="9" t="s">
        <v>256</v>
      </c>
      <c r="C128" s="9">
        <v>2015</v>
      </c>
      <c r="D128" s="9" t="s">
        <v>384</v>
      </c>
      <c r="E128" s="9" t="s">
        <v>618</v>
      </c>
      <c r="F128" s="9">
        <v>86</v>
      </c>
      <c r="G128" s="9" t="s">
        <v>380</v>
      </c>
      <c r="H128" s="9" t="s">
        <v>619</v>
      </c>
      <c r="I128" s="9"/>
      <c r="J128" s="9"/>
      <c r="K128" s="9" t="s">
        <v>267</v>
      </c>
      <c r="L128" s="9" t="s">
        <v>620</v>
      </c>
      <c r="M128" s="9"/>
    </row>
    <row r="129" spans="1:13" ht="75" x14ac:dyDescent="0.25">
      <c r="A129" s="9" t="s">
        <v>255</v>
      </c>
      <c r="B129" s="9" t="s">
        <v>256</v>
      </c>
      <c r="C129" s="9">
        <v>2015</v>
      </c>
      <c r="D129" s="9" t="s">
        <v>384</v>
      </c>
      <c r="E129" s="9" t="s">
        <v>621</v>
      </c>
      <c r="F129" s="9">
        <v>82</v>
      </c>
      <c r="G129" s="9" t="s">
        <v>380</v>
      </c>
      <c r="H129" s="9" t="s">
        <v>619</v>
      </c>
      <c r="I129" s="9"/>
      <c r="J129" s="9"/>
      <c r="K129" s="9" t="s">
        <v>267</v>
      </c>
      <c r="L129" s="9" t="s">
        <v>620</v>
      </c>
      <c r="M129" s="9"/>
    </row>
    <row r="130" spans="1:13" ht="75" x14ac:dyDescent="0.25">
      <c r="A130" s="9" t="s">
        <v>255</v>
      </c>
      <c r="B130" s="9" t="s">
        <v>256</v>
      </c>
      <c r="C130" s="9">
        <v>2015</v>
      </c>
      <c r="D130" s="9" t="s">
        <v>622</v>
      </c>
      <c r="E130" s="9" t="s">
        <v>623</v>
      </c>
      <c r="F130" s="9">
        <v>91</v>
      </c>
      <c r="G130" s="9" t="s">
        <v>380</v>
      </c>
      <c r="H130" s="9" t="s">
        <v>624</v>
      </c>
      <c r="I130" s="9" t="s">
        <v>625</v>
      </c>
      <c r="J130" s="9" t="s">
        <v>565</v>
      </c>
      <c r="K130" s="9" t="s">
        <v>267</v>
      </c>
      <c r="L130" s="9" t="s">
        <v>626</v>
      </c>
      <c r="M130" s="9"/>
    </row>
    <row r="131" spans="1:13" ht="75" x14ac:dyDescent="0.25">
      <c r="A131" s="9" t="s">
        <v>255</v>
      </c>
      <c r="B131" s="9" t="s">
        <v>256</v>
      </c>
      <c r="C131" s="9">
        <v>2015</v>
      </c>
      <c r="D131" s="9" t="s">
        <v>390</v>
      </c>
      <c r="E131" s="9" t="s">
        <v>627</v>
      </c>
      <c r="F131" s="9">
        <v>29</v>
      </c>
      <c r="G131" s="9" t="s">
        <v>380</v>
      </c>
      <c r="H131" s="9" t="s">
        <v>624</v>
      </c>
      <c r="I131" s="9" t="s">
        <v>628</v>
      </c>
      <c r="J131" s="9" t="s">
        <v>565</v>
      </c>
      <c r="K131" s="9" t="s">
        <v>267</v>
      </c>
      <c r="L131" s="9" t="s">
        <v>629</v>
      </c>
      <c r="M131" s="9"/>
    </row>
    <row r="132" spans="1:13" ht="75" x14ac:dyDescent="0.25">
      <c r="A132" s="9" t="s">
        <v>255</v>
      </c>
      <c r="B132" s="9" t="s">
        <v>256</v>
      </c>
      <c r="C132" s="9">
        <v>2015</v>
      </c>
      <c r="D132" s="9" t="s">
        <v>390</v>
      </c>
      <c r="E132" s="9" t="s">
        <v>630</v>
      </c>
      <c r="F132" s="9">
        <v>46</v>
      </c>
      <c r="G132" s="9" t="s">
        <v>380</v>
      </c>
      <c r="H132" s="9" t="s">
        <v>614</v>
      </c>
      <c r="I132" s="9"/>
      <c r="J132" s="9"/>
      <c r="K132" s="9" t="s">
        <v>267</v>
      </c>
      <c r="L132" s="9" t="s">
        <v>626</v>
      </c>
      <c r="M132" s="9"/>
    </row>
    <row r="133" spans="1:13" ht="75" x14ac:dyDescent="0.25">
      <c r="A133" s="9" t="s">
        <v>255</v>
      </c>
      <c r="B133" s="9" t="s">
        <v>269</v>
      </c>
      <c r="C133" s="9">
        <v>2016</v>
      </c>
      <c r="D133" s="9" t="s">
        <v>378</v>
      </c>
      <c r="E133" s="9" t="s">
        <v>613</v>
      </c>
      <c r="F133" s="9">
        <v>27</v>
      </c>
      <c r="G133" s="9" t="s">
        <v>380</v>
      </c>
      <c r="H133" s="9" t="s">
        <v>631</v>
      </c>
      <c r="I133" s="9" t="s">
        <v>632</v>
      </c>
      <c r="J133" s="9" t="s">
        <v>633</v>
      </c>
      <c r="K133" s="9" t="s">
        <v>273</v>
      </c>
      <c r="L133" s="9" t="s">
        <v>634</v>
      </c>
      <c r="M133" s="9"/>
    </row>
    <row r="134" spans="1:13" ht="75" x14ac:dyDescent="0.25">
      <c r="A134" s="9" t="s">
        <v>255</v>
      </c>
      <c r="B134" s="9" t="s">
        <v>269</v>
      </c>
      <c r="C134" s="9">
        <v>2016</v>
      </c>
      <c r="D134" s="9" t="s">
        <v>378</v>
      </c>
      <c r="E134" s="9" t="s">
        <v>616</v>
      </c>
      <c r="F134" s="9">
        <v>4</v>
      </c>
      <c r="G134" s="9" t="s">
        <v>380</v>
      </c>
      <c r="H134" s="9" t="s">
        <v>631</v>
      </c>
      <c r="I134" s="9" t="s">
        <v>635</v>
      </c>
      <c r="J134" s="9"/>
      <c r="K134" s="9" t="s">
        <v>273</v>
      </c>
      <c r="L134" s="9" t="s">
        <v>634</v>
      </c>
      <c r="M134" s="9"/>
    </row>
    <row r="135" spans="1:13" ht="75" x14ac:dyDescent="0.25">
      <c r="A135" s="9" t="s">
        <v>255</v>
      </c>
      <c r="B135" s="9" t="s">
        <v>269</v>
      </c>
      <c r="C135" s="9">
        <v>2016</v>
      </c>
      <c r="D135" s="9" t="s">
        <v>636</v>
      </c>
      <c r="E135" s="9" t="s">
        <v>637</v>
      </c>
      <c r="F135" s="9">
        <v>95</v>
      </c>
      <c r="G135" s="9" t="s">
        <v>380</v>
      </c>
      <c r="H135" s="9" t="s">
        <v>631</v>
      </c>
      <c r="I135" s="9" t="s">
        <v>638</v>
      </c>
      <c r="J135" s="9" t="s">
        <v>565</v>
      </c>
      <c r="K135" s="9" t="s">
        <v>273</v>
      </c>
      <c r="L135" s="9" t="s">
        <v>639</v>
      </c>
      <c r="M135" s="9"/>
    </row>
    <row r="136" spans="1:13" ht="75" x14ac:dyDescent="0.25">
      <c r="A136" s="9" t="s">
        <v>255</v>
      </c>
      <c r="B136" s="9" t="s">
        <v>269</v>
      </c>
      <c r="C136" s="9">
        <v>2016</v>
      </c>
      <c r="D136" s="9" t="s">
        <v>390</v>
      </c>
      <c r="E136" s="9" t="s">
        <v>640</v>
      </c>
      <c r="F136" s="9">
        <v>66</v>
      </c>
      <c r="G136" s="9" t="s">
        <v>380</v>
      </c>
      <c r="H136" s="9" t="s">
        <v>641</v>
      </c>
      <c r="I136" s="9" t="s">
        <v>642</v>
      </c>
      <c r="J136" s="9"/>
      <c r="K136" s="9" t="s">
        <v>273</v>
      </c>
      <c r="L136" s="9" t="s">
        <v>643</v>
      </c>
      <c r="M136" s="9"/>
    </row>
    <row r="137" spans="1:13" ht="75" x14ac:dyDescent="0.25">
      <c r="A137" s="9" t="s">
        <v>255</v>
      </c>
      <c r="B137" s="9" t="s">
        <v>269</v>
      </c>
      <c r="C137" s="9">
        <v>2016</v>
      </c>
      <c r="D137" s="9" t="s">
        <v>622</v>
      </c>
      <c r="E137" s="9" t="s">
        <v>644</v>
      </c>
      <c r="F137" s="9">
        <v>83</v>
      </c>
      <c r="G137" s="9" t="s">
        <v>380</v>
      </c>
      <c r="H137" s="9" t="s">
        <v>631</v>
      </c>
      <c r="I137" s="9" t="s">
        <v>645</v>
      </c>
      <c r="J137" s="9"/>
      <c r="K137" s="9" t="s">
        <v>273</v>
      </c>
      <c r="L137" s="9" t="s">
        <v>643</v>
      </c>
      <c r="M137" s="9"/>
    </row>
    <row r="138" spans="1:13" ht="75" x14ac:dyDescent="0.25">
      <c r="A138" s="9" t="s">
        <v>255</v>
      </c>
      <c r="B138" s="9" t="s">
        <v>269</v>
      </c>
      <c r="C138" s="9">
        <v>2016</v>
      </c>
      <c r="D138" s="9" t="s">
        <v>622</v>
      </c>
      <c r="E138" s="9" t="s">
        <v>646</v>
      </c>
      <c r="F138" s="9">
        <v>85</v>
      </c>
      <c r="G138" s="9" t="s">
        <v>380</v>
      </c>
      <c r="H138" s="9" t="s">
        <v>647</v>
      </c>
      <c r="I138" s="9" t="s">
        <v>648</v>
      </c>
      <c r="J138" s="9" t="s">
        <v>649</v>
      </c>
      <c r="K138" s="9" t="s">
        <v>273</v>
      </c>
      <c r="L138" s="9" t="s">
        <v>650</v>
      </c>
      <c r="M138" s="9"/>
    </row>
    <row r="139" spans="1:13" ht="75" x14ac:dyDescent="0.25">
      <c r="A139" s="9" t="s">
        <v>255</v>
      </c>
      <c r="B139" s="9" t="s">
        <v>269</v>
      </c>
      <c r="C139" s="9">
        <v>2016</v>
      </c>
      <c r="D139" s="9" t="s">
        <v>390</v>
      </c>
      <c r="E139" s="9" t="s">
        <v>651</v>
      </c>
      <c r="F139" s="9">
        <v>79</v>
      </c>
      <c r="G139" s="9" t="s">
        <v>380</v>
      </c>
      <c r="H139" s="9" t="s">
        <v>652</v>
      </c>
      <c r="I139" s="9" t="s">
        <v>653</v>
      </c>
      <c r="J139" s="9" t="s">
        <v>565</v>
      </c>
      <c r="K139" s="9" t="s">
        <v>273</v>
      </c>
      <c r="L139" s="9" t="s">
        <v>654</v>
      </c>
      <c r="M139" s="9" t="s">
        <v>655</v>
      </c>
    </row>
    <row r="140" spans="1:13" ht="30" x14ac:dyDescent="0.25">
      <c r="A140" s="9" t="s">
        <v>275</v>
      </c>
      <c r="B140" s="9" t="s">
        <v>276</v>
      </c>
      <c r="C140" s="9">
        <v>2016</v>
      </c>
      <c r="D140" s="9" t="s">
        <v>378</v>
      </c>
      <c r="E140" s="9" t="s">
        <v>656</v>
      </c>
      <c r="F140" s="9">
        <v>48</v>
      </c>
      <c r="G140" s="9" t="s">
        <v>380</v>
      </c>
      <c r="H140" s="9" t="s">
        <v>657</v>
      </c>
      <c r="I140" s="9"/>
      <c r="J140" s="9"/>
      <c r="K140" s="9" t="s">
        <v>288</v>
      </c>
      <c r="L140" s="9" t="s">
        <v>658</v>
      </c>
      <c r="M140" s="9"/>
    </row>
    <row r="141" spans="1:13" ht="30" x14ac:dyDescent="0.25">
      <c r="A141" s="9" t="s">
        <v>275</v>
      </c>
      <c r="B141" s="9" t="s">
        <v>276</v>
      </c>
      <c r="C141" s="9">
        <v>2016</v>
      </c>
      <c r="D141" s="9" t="s">
        <v>378</v>
      </c>
      <c r="E141" s="9" t="s">
        <v>659</v>
      </c>
      <c r="F141" s="9">
        <v>67</v>
      </c>
      <c r="G141" s="9" t="s">
        <v>380</v>
      </c>
      <c r="H141" s="9" t="s">
        <v>657</v>
      </c>
      <c r="I141" s="9"/>
      <c r="J141" s="9"/>
      <c r="K141" s="9" t="s">
        <v>288</v>
      </c>
      <c r="L141" s="9" t="s">
        <v>658</v>
      </c>
      <c r="M141" s="9"/>
    </row>
    <row r="142" spans="1:13" ht="30" x14ac:dyDescent="0.25">
      <c r="A142" s="9" t="s">
        <v>275</v>
      </c>
      <c r="B142" s="9" t="s">
        <v>276</v>
      </c>
      <c r="C142" s="9">
        <v>2016</v>
      </c>
      <c r="D142" s="9" t="s">
        <v>390</v>
      </c>
      <c r="E142" s="9" t="s">
        <v>286</v>
      </c>
      <c r="F142" s="9">
        <v>16</v>
      </c>
      <c r="G142" s="9" t="s">
        <v>380</v>
      </c>
      <c r="H142" s="9" t="s">
        <v>657</v>
      </c>
      <c r="I142" s="9"/>
      <c r="J142" s="9"/>
      <c r="K142" s="9" t="s">
        <v>288</v>
      </c>
      <c r="L142" s="9" t="s">
        <v>660</v>
      </c>
      <c r="M142" s="9"/>
    </row>
    <row r="143" spans="1:13" ht="30" x14ac:dyDescent="0.25">
      <c r="A143" s="9" t="s">
        <v>275</v>
      </c>
      <c r="B143" s="9" t="s">
        <v>276</v>
      </c>
      <c r="C143" s="9">
        <v>2016</v>
      </c>
      <c r="D143" s="9" t="s">
        <v>390</v>
      </c>
      <c r="E143" s="9" t="s">
        <v>661</v>
      </c>
      <c r="F143" s="9">
        <v>6</v>
      </c>
      <c r="G143" s="9" t="s">
        <v>380</v>
      </c>
      <c r="H143" s="9" t="s">
        <v>657</v>
      </c>
      <c r="I143" s="9"/>
      <c r="J143" s="9"/>
      <c r="K143" s="9" t="s">
        <v>288</v>
      </c>
      <c r="L143" s="9" t="s">
        <v>660</v>
      </c>
      <c r="M143" s="9"/>
    </row>
    <row r="144" spans="1:13" ht="30" x14ac:dyDescent="0.25">
      <c r="A144" s="9" t="s">
        <v>275</v>
      </c>
      <c r="B144" s="9" t="s">
        <v>290</v>
      </c>
      <c r="C144" s="9">
        <v>2017</v>
      </c>
      <c r="D144" s="9" t="s">
        <v>378</v>
      </c>
      <c r="E144" s="9" t="s">
        <v>656</v>
      </c>
      <c r="F144" s="9">
        <v>58</v>
      </c>
      <c r="G144" s="9" t="s">
        <v>380</v>
      </c>
      <c r="H144" s="9" t="s">
        <v>657</v>
      </c>
      <c r="I144" s="9"/>
      <c r="J144" s="9"/>
      <c r="K144" s="9" t="s">
        <v>297</v>
      </c>
      <c r="L144" s="9" t="s">
        <v>658</v>
      </c>
      <c r="M144" s="9"/>
    </row>
    <row r="145" spans="1:13" ht="30" x14ac:dyDescent="0.25">
      <c r="A145" s="9" t="s">
        <v>275</v>
      </c>
      <c r="B145" s="9" t="s">
        <v>290</v>
      </c>
      <c r="C145" s="9">
        <v>2017</v>
      </c>
      <c r="D145" s="9" t="s">
        <v>378</v>
      </c>
      <c r="E145" s="9" t="s">
        <v>659</v>
      </c>
      <c r="F145" s="9">
        <v>76</v>
      </c>
      <c r="G145" s="9" t="s">
        <v>380</v>
      </c>
      <c r="H145" s="9" t="s">
        <v>657</v>
      </c>
      <c r="I145" s="9"/>
      <c r="J145" s="9"/>
      <c r="K145" s="9" t="s">
        <v>297</v>
      </c>
      <c r="L145" s="9" t="s">
        <v>658</v>
      </c>
      <c r="M145" s="9"/>
    </row>
    <row r="146" spans="1:13" ht="30" x14ac:dyDescent="0.25">
      <c r="A146" s="9" t="s">
        <v>275</v>
      </c>
      <c r="B146" s="9" t="s">
        <v>290</v>
      </c>
      <c r="C146" s="9">
        <v>2017</v>
      </c>
      <c r="D146" s="9" t="s">
        <v>390</v>
      </c>
      <c r="E146" s="9" t="s">
        <v>286</v>
      </c>
      <c r="F146" s="9">
        <v>16</v>
      </c>
      <c r="G146" s="9" t="s">
        <v>380</v>
      </c>
      <c r="H146" s="9" t="s">
        <v>657</v>
      </c>
      <c r="I146" s="9"/>
      <c r="J146" s="9"/>
      <c r="K146" s="9" t="s">
        <v>297</v>
      </c>
      <c r="L146" s="9" t="s">
        <v>660</v>
      </c>
      <c r="M146" s="9"/>
    </row>
    <row r="147" spans="1:13" ht="30" x14ac:dyDescent="0.25">
      <c r="A147" s="9" t="s">
        <v>275</v>
      </c>
      <c r="B147" s="9" t="s">
        <v>290</v>
      </c>
      <c r="C147" s="9">
        <v>2017</v>
      </c>
      <c r="D147" s="9" t="s">
        <v>390</v>
      </c>
      <c r="E147" s="9" t="s">
        <v>661</v>
      </c>
      <c r="F147" s="9">
        <v>8</v>
      </c>
      <c r="G147" s="9" t="s">
        <v>380</v>
      </c>
      <c r="H147" s="9" t="s">
        <v>657</v>
      </c>
      <c r="I147" s="9"/>
      <c r="J147" s="9"/>
      <c r="K147" s="9" t="s">
        <v>297</v>
      </c>
      <c r="L147" s="9" t="s">
        <v>660</v>
      </c>
      <c r="M147" s="9"/>
    </row>
    <row r="148" spans="1:13" x14ac:dyDescent="0.25">
      <c r="A148" s="9" t="s">
        <v>275</v>
      </c>
      <c r="B148" s="9" t="s">
        <v>299</v>
      </c>
      <c r="C148" s="9">
        <v>2018</v>
      </c>
      <c r="D148" s="9" t="s">
        <v>378</v>
      </c>
      <c r="E148" s="9" t="s">
        <v>656</v>
      </c>
      <c r="F148" s="9">
        <v>58</v>
      </c>
      <c r="G148" s="9" t="s">
        <v>380</v>
      </c>
      <c r="H148" s="9" t="s">
        <v>657</v>
      </c>
      <c r="I148" s="9"/>
      <c r="J148" s="9"/>
      <c r="K148" s="9" t="s">
        <v>305</v>
      </c>
      <c r="L148" s="9" t="s">
        <v>658</v>
      </c>
      <c r="M148" s="9"/>
    </row>
    <row r="149" spans="1:13" ht="30" x14ac:dyDescent="0.25">
      <c r="A149" s="9" t="s">
        <v>275</v>
      </c>
      <c r="B149" s="9" t="s">
        <v>299</v>
      </c>
      <c r="C149" s="9">
        <v>2018</v>
      </c>
      <c r="D149" s="9" t="s">
        <v>378</v>
      </c>
      <c r="E149" s="9" t="s">
        <v>659</v>
      </c>
      <c r="F149" s="9">
        <v>83</v>
      </c>
      <c r="G149" s="9" t="s">
        <v>380</v>
      </c>
      <c r="H149" s="9" t="s">
        <v>657</v>
      </c>
      <c r="I149" s="9"/>
      <c r="J149" s="9"/>
      <c r="K149" s="9" t="s">
        <v>305</v>
      </c>
      <c r="L149" s="9" t="s">
        <v>658</v>
      </c>
      <c r="M149" s="9"/>
    </row>
    <row r="150" spans="1:13" ht="30" x14ac:dyDescent="0.25">
      <c r="A150" s="9" t="s">
        <v>275</v>
      </c>
      <c r="B150" s="9" t="s">
        <v>299</v>
      </c>
      <c r="C150" s="9">
        <v>2018</v>
      </c>
      <c r="D150" s="9" t="s">
        <v>390</v>
      </c>
      <c r="E150" s="9" t="s">
        <v>286</v>
      </c>
      <c r="F150" s="9">
        <v>19</v>
      </c>
      <c r="G150" s="9" t="s">
        <v>380</v>
      </c>
      <c r="H150" s="9" t="s">
        <v>657</v>
      </c>
      <c r="I150" s="9"/>
      <c r="J150" s="9"/>
      <c r="K150" s="9" t="s">
        <v>305</v>
      </c>
      <c r="L150" s="9" t="s">
        <v>660</v>
      </c>
      <c r="M150" s="9"/>
    </row>
    <row r="151" spans="1:13" ht="30" x14ac:dyDescent="0.25">
      <c r="A151" s="9" t="s">
        <v>275</v>
      </c>
      <c r="B151" s="9" t="s">
        <v>299</v>
      </c>
      <c r="C151" s="9">
        <v>2018</v>
      </c>
      <c r="D151" s="9" t="s">
        <v>390</v>
      </c>
      <c r="E151" s="9" t="s">
        <v>661</v>
      </c>
      <c r="F151" s="9">
        <v>8</v>
      </c>
      <c r="G151" s="9" t="s">
        <v>380</v>
      </c>
      <c r="H151" s="9" t="s">
        <v>657</v>
      </c>
      <c r="I151" s="9"/>
      <c r="J151" s="9"/>
      <c r="K151" s="9" t="s">
        <v>305</v>
      </c>
      <c r="L151" s="9" t="s">
        <v>660</v>
      </c>
      <c r="M151" s="9"/>
    </row>
    <row r="152" spans="1:13" x14ac:dyDescent="0.25">
      <c r="A152" s="9" t="s">
        <v>275</v>
      </c>
      <c r="B152" s="9" t="s">
        <v>307</v>
      </c>
      <c r="C152" s="9">
        <v>2019</v>
      </c>
      <c r="D152" s="9" t="s">
        <v>378</v>
      </c>
      <c r="E152" s="9" t="s">
        <v>656</v>
      </c>
      <c r="F152" s="9">
        <v>65</v>
      </c>
      <c r="G152" s="9" t="s">
        <v>380</v>
      </c>
      <c r="H152" s="9" t="s">
        <v>657</v>
      </c>
      <c r="I152" s="9"/>
      <c r="J152" s="9"/>
      <c r="K152" s="9" t="s">
        <v>312</v>
      </c>
      <c r="L152" s="9" t="s">
        <v>658</v>
      </c>
      <c r="M152" s="9"/>
    </row>
    <row r="153" spans="1:13" ht="30" x14ac:dyDescent="0.25">
      <c r="A153" s="9" t="s">
        <v>275</v>
      </c>
      <c r="B153" s="9" t="s">
        <v>307</v>
      </c>
      <c r="C153" s="9">
        <v>2019</v>
      </c>
      <c r="D153" s="9" t="s">
        <v>378</v>
      </c>
      <c r="E153" s="9" t="s">
        <v>659</v>
      </c>
      <c r="F153" s="9">
        <v>82</v>
      </c>
      <c r="G153" s="9" t="s">
        <v>380</v>
      </c>
      <c r="H153" s="9" t="s">
        <v>657</v>
      </c>
      <c r="I153" s="9"/>
      <c r="J153" s="9"/>
      <c r="K153" s="9" t="s">
        <v>312</v>
      </c>
      <c r="L153" s="9" t="s">
        <v>658</v>
      </c>
      <c r="M153" s="9"/>
    </row>
    <row r="154" spans="1:13" ht="30" x14ac:dyDescent="0.25">
      <c r="A154" s="9" t="s">
        <v>275</v>
      </c>
      <c r="B154" s="9" t="s">
        <v>307</v>
      </c>
      <c r="C154" s="9">
        <v>2019</v>
      </c>
      <c r="D154" s="9" t="s">
        <v>390</v>
      </c>
      <c r="E154" s="9" t="s">
        <v>286</v>
      </c>
      <c r="F154" s="9">
        <v>25</v>
      </c>
      <c r="G154" s="9" t="s">
        <v>380</v>
      </c>
      <c r="H154" s="9" t="s">
        <v>657</v>
      </c>
      <c r="I154" s="9"/>
      <c r="J154" s="9"/>
      <c r="K154" s="9" t="s">
        <v>312</v>
      </c>
      <c r="L154" s="9" t="s">
        <v>660</v>
      </c>
      <c r="M154" s="9"/>
    </row>
    <row r="155" spans="1:13" ht="30" x14ac:dyDescent="0.25">
      <c r="A155" s="9" t="s">
        <v>275</v>
      </c>
      <c r="B155" s="9" t="s">
        <v>307</v>
      </c>
      <c r="C155" s="9">
        <v>2019</v>
      </c>
      <c r="D155" s="9" t="s">
        <v>390</v>
      </c>
      <c r="E155" s="9" t="s">
        <v>661</v>
      </c>
      <c r="F155" s="9">
        <v>9</v>
      </c>
      <c r="G155" s="9" t="s">
        <v>380</v>
      </c>
      <c r="H155" s="9" t="s">
        <v>657</v>
      </c>
      <c r="I155" s="9"/>
      <c r="J155" s="9"/>
      <c r="K155" s="9" t="s">
        <v>312</v>
      </c>
      <c r="L155" s="9" t="s">
        <v>660</v>
      </c>
      <c r="M155" s="9"/>
    </row>
    <row r="156" spans="1:13" x14ac:dyDescent="0.25">
      <c r="A156" s="9" t="s">
        <v>275</v>
      </c>
      <c r="B156" s="9" t="s">
        <v>314</v>
      </c>
      <c r="C156" s="9">
        <v>2020</v>
      </c>
      <c r="D156" s="9" t="s">
        <v>378</v>
      </c>
      <c r="E156" s="9" t="s">
        <v>656</v>
      </c>
      <c r="F156" s="9">
        <v>35</v>
      </c>
      <c r="G156" s="9" t="s">
        <v>380</v>
      </c>
      <c r="H156" s="9" t="s">
        <v>657</v>
      </c>
      <c r="I156" s="9"/>
      <c r="J156" s="9"/>
      <c r="K156" s="9" t="s">
        <v>321</v>
      </c>
      <c r="L156" s="9" t="s">
        <v>658</v>
      </c>
      <c r="M156" s="9"/>
    </row>
    <row r="157" spans="1:13" ht="30" x14ac:dyDescent="0.25">
      <c r="A157" s="9" t="s">
        <v>275</v>
      </c>
      <c r="B157" s="9" t="s">
        <v>314</v>
      </c>
      <c r="C157" s="9">
        <v>2020</v>
      </c>
      <c r="D157" s="9" t="s">
        <v>378</v>
      </c>
      <c r="E157" s="9" t="s">
        <v>659</v>
      </c>
      <c r="F157" s="9">
        <v>40</v>
      </c>
      <c r="G157" s="9" t="s">
        <v>380</v>
      </c>
      <c r="H157" s="9" t="s">
        <v>657</v>
      </c>
      <c r="I157" s="9"/>
      <c r="J157" s="9"/>
      <c r="K157" s="9" t="s">
        <v>321</v>
      </c>
      <c r="L157" s="9" t="s">
        <v>658</v>
      </c>
      <c r="M157" s="9"/>
    </row>
    <row r="158" spans="1:13" ht="30" x14ac:dyDescent="0.25">
      <c r="A158" s="9" t="s">
        <v>275</v>
      </c>
      <c r="B158" s="9" t="s">
        <v>314</v>
      </c>
      <c r="C158" s="9">
        <v>2020</v>
      </c>
      <c r="D158" s="9" t="s">
        <v>390</v>
      </c>
      <c r="E158" s="9" t="s">
        <v>286</v>
      </c>
      <c r="F158" s="9">
        <v>12.3</v>
      </c>
      <c r="G158" s="9" t="s">
        <v>380</v>
      </c>
      <c r="H158" s="9" t="s">
        <v>657</v>
      </c>
      <c r="I158" s="9"/>
      <c r="J158" s="9"/>
      <c r="K158" s="9" t="s">
        <v>321</v>
      </c>
      <c r="L158" s="9" t="s">
        <v>660</v>
      </c>
      <c r="M158" s="9"/>
    </row>
    <row r="159" spans="1:13" ht="30" x14ac:dyDescent="0.25">
      <c r="A159" s="9" t="s">
        <v>275</v>
      </c>
      <c r="B159" s="9" t="s">
        <v>314</v>
      </c>
      <c r="C159" s="9">
        <v>2020</v>
      </c>
      <c r="D159" s="9" t="s">
        <v>390</v>
      </c>
      <c r="E159" s="9" t="s">
        <v>661</v>
      </c>
      <c r="F159" s="9">
        <v>4</v>
      </c>
      <c r="G159" s="9" t="s">
        <v>380</v>
      </c>
      <c r="H159" s="9" t="s">
        <v>657</v>
      </c>
      <c r="I159" s="9"/>
      <c r="J159" s="9"/>
      <c r="K159" s="9" t="s">
        <v>321</v>
      </c>
      <c r="L159" s="9" t="s">
        <v>660</v>
      </c>
      <c r="M159" s="9"/>
    </row>
    <row r="160" spans="1:13" ht="30" x14ac:dyDescent="0.25">
      <c r="A160" s="9" t="s">
        <v>275</v>
      </c>
      <c r="B160" s="9" t="s">
        <v>276</v>
      </c>
      <c r="C160" s="9">
        <v>2016</v>
      </c>
      <c r="D160" s="9" t="s">
        <v>662</v>
      </c>
      <c r="E160" s="9" t="s">
        <v>663</v>
      </c>
      <c r="F160" s="9">
        <v>124500</v>
      </c>
      <c r="G160" s="9" t="s">
        <v>458</v>
      </c>
      <c r="H160" s="9" t="s">
        <v>279</v>
      </c>
      <c r="I160" s="9" t="s">
        <v>664</v>
      </c>
      <c r="J160" s="9"/>
      <c r="K160" s="9" t="s">
        <v>288</v>
      </c>
      <c r="L160" s="9" t="s">
        <v>665</v>
      </c>
      <c r="M160" s="9"/>
    </row>
    <row r="161" spans="1:13" ht="30" x14ac:dyDescent="0.25">
      <c r="A161" s="9" t="s">
        <v>275</v>
      </c>
      <c r="B161" s="9" t="s">
        <v>276</v>
      </c>
      <c r="C161" s="9">
        <v>2016</v>
      </c>
      <c r="D161" s="9" t="s">
        <v>666</v>
      </c>
      <c r="E161" s="9" t="s">
        <v>667</v>
      </c>
      <c r="F161" s="9">
        <v>4.22</v>
      </c>
      <c r="G161" s="9" t="s">
        <v>668</v>
      </c>
      <c r="H161" s="9" t="s">
        <v>669</v>
      </c>
      <c r="I161" s="9" t="s">
        <v>670</v>
      </c>
      <c r="J161" s="9"/>
      <c r="K161" s="9" t="s">
        <v>288</v>
      </c>
      <c r="L161" s="9" t="s">
        <v>665</v>
      </c>
      <c r="M161" s="9"/>
    </row>
    <row r="162" spans="1:13" ht="30" x14ac:dyDescent="0.25">
      <c r="A162" s="9" t="s">
        <v>275</v>
      </c>
      <c r="B162" s="9" t="s">
        <v>276</v>
      </c>
      <c r="C162" s="9">
        <v>2016</v>
      </c>
      <c r="D162" s="9" t="s">
        <v>671</v>
      </c>
      <c r="E162" s="9" t="s">
        <v>672</v>
      </c>
      <c r="F162" s="9">
        <v>67</v>
      </c>
      <c r="G162" s="9" t="s">
        <v>380</v>
      </c>
      <c r="H162" s="9" t="s">
        <v>673</v>
      </c>
      <c r="I162" s="9"/>
      <c r="J162" s="9"/>
      <c r="K162" s="9" t="s">
        <v>288</v>
      </c>
      <c r="L162" s="9" t="s">
        <v>674</v>
      </c>
      <c r="M162" s="9"/>
    </row>
    <row r="163" spans="1:13" ht="30" x14ac:dyDescent="0.25">
      <c r="A163" s="9" t="s">
        <v>275</v>
      </c>
      <c r="B163" s="9" t="s">
        <v>276</v>
      </c>
      <c r="C163" s="9">
        <v>2016</v>
      </c>
      <c r="D163" s="9" t="s">
        <v>671</v>
      </c>
      <c r="E163" s="9" t="s">
        <v>675</v>
      </c>
      <c r="F163" s="9">
        <v>92</v>
      </c>
      <c r="G163" s="9" t="s">
        <v>380</v>
      </c>
      <c r="H163" s="9" t="s">
        <v>673</v>
      </c>
      <c r="I163" s="9"/>
      <c r="J163" s="9"/>
      <c r="K163" s="9" t="s">
        <v>288</v>
      </c>
      <c r="L163" s="9" t="s">
        <v>674</v>
      </c>
      <c r="M163" s="9"/>
    </row>
    <row r="164" spans="1:13" ht="30" x14ac:dyDescent="0.25">
      <c r="A164" s="9" t="s">
        <v>275</v>
      </c>
      <c r="B164" s="9" t="s">
        <v>290</v>
      </c>
      <c r="C164" s="9">
        <v>2017</v>
      </c>
      <c r="D164" s="9" t="s">
        <v>676</v>
      </c>
      <c r="E164" s="9" t="s">
        <v>677</v>
      </c>
      <c r="F164" s="9">
        <v>200000</v>
      </c>
      <c r="G164" s="9" t="s">
        <v>678</v>
      </c>
      <c r="H164" s="9" t="s">
        <v>679</v>
      </c>
      <c r="I164" s="9" t="s">
        <v>680</v>
      </c>
      <c r="J164" s="9"/>
      <c r="K164" s="9" t="s">
        <v>297</v>
      </c>
      <c r="L164" s="9" t="s">
        <v>681</v>
      </c>
      <c r="M164" s="9"/>
    </row>
    <row r="165" spans="1:13" ht="30" x14ac:dyDescent="0.25">
      <c r="A165" s="9" t="s">
        <v>275</v>
      </c>
      <c r="B165" s="9" t="s">
        <v>290</v>
      </c>
      <c r="C165" s="9">
        <v>2017</v>
      </c>
      <c r="D165" s="9" t="s">
        <v>676</v>
      </c>
      <c r="E165" s="9" t="s">
        <v>682</v>
      </c>
      <c r="F165" s="9">
        <v>37053</v>
      </c>
      <c r="G165" s="9" t="s">
        <v>458</v>
      </c>
      <c r="H165" s="9" t="s">
        <v>683</v>
      </c>
      <c r="I165" s="9" t="s">
        <v>684</v>
      </c>
      <c r="J165" s="9"/>
      <c r="K165" s="9" t="s">
        <v>297</v>
      </c>
      <c r="L165" s="9" t="s">
        <v>681</v>
      </c>
      <c r="M165" s="9"/>
    </row>
    <row r="166" spans="1:13" ht="30" x14ac:dyDescent="0.25">
      <c r="A166" s="9" t="s">
        <v>275</v>
      </c>
      <c r="B166" s="9" t="s">
        <v>299</v>
      </c>
      <c r="C166" s="9">
        <v>2018</v>
      </c>
      <c r="D166" s="9" t="s">
        <v>676</v>
      </c>
      <c r="E166" s="9" t="s">
        <v>685</v>
      </c>
      <c r="F166" s="9">
        <v>276703</v>
      </c>
      <c r="G166" s="9" t="s">
        <v>458</v>
      </c>
      <c r="H166" s="9" t="s">
        <v>679</v>
      </c>
      <c r="I166" s="9" t="s">
        <v>686</v>
      </c>
      <c r="J166" s="9"/>
      <c r="K166" s="9" t="s">
        <v>305</v>
      </c>
      <c r="L166" s="9" t="s">
        <v>681</v>
      </c>
      <c r="M166" s="9"/>
    </row>
    <row r="167" spans="1:13" ht="30" x14ac:dyDescent="0.25">
      <c r="A167" s="9" t="s">
        <v>275</v>
      </c>
      <c r="B167" s="9" t="s">
        <v>299</v>
      </c>
      <c r="C167" s="9">
        <v>2018</v>
      </c>
      <c r="D167" s="9" t="s">
        <v>676</v>
      </c>
      <c r="E167" s="9" t="s">
        <v>682</v>
      </c>
      <c r="F167" s="9">
        <v>51786</v>
      </c>
      <c r="G167" s="9" t="s">
        <v>458</v>
      </c>
      <c r="H167" s="9" t="s">
        <v>683</v>
      </c>
      <c r="I167" s="9" t="s">
        <v>687</v>
      </c>
      <c r="J167" s="9"/>
      <c r="K167" s="9" t="s">
        <v>305</v>
      </c>
      <c r="L167" s="9" t="s">
        <v>681</v>
      </c>
      <c r="M167" s="9"/>
    </row>
    <row r="168" spans="1:13" ht="30" x14ac:dyDescent="0.25">
      <c r="A168" s="9" t="s">
        <v>275</v>
      </c>
      <c r="B168" s="9" t="s">
        <v>299</v>
      </c>
      <c r="C168" s="9">
        <v>2018</v>
      </c>
      <c r="D168" s="9" t="s">
        <v>502</v>
      </c>
      <c r="E168" s="9" t="s">
        <v>688</v>
      </c>
      <c r="F168" s="9">
        <v>91135</v>
      </c>
      <c r="G168" s="9" t="s">
        <v>458</v>
      </c>
      <c r="H168" s="9" t="s">
        <v>689</v>
      </c>
      <c r="I168" s="9"/>
      <c r="J168" s="9"/>
      <c r="K168" s="9" t="s">
        <v>305</v>
      </c>
      <c r="L168" s="9" t="s">
        <v>681</v>
      </c>
      <c r="M168" s="9"/>
    </row>
    <row r="169" spans="1:13" ht="30" x14ac:dyDescent="0.25">
      <c r="A169" s="9" t="s">
        <v>275</v>
      </c>
      <c r="B169" s="9" t="s">
        <v>299</v>
      </c>
      <c r="C169" s="9">
        <v>2018</v>
      </c>
      <c r="D169" s="9" t="s">
        <v>390</v>
      </c>
      <c r="E169" s="9" t="s">
        <v>690</v>
      </c>
      <c r="F169" s="9">
        <v>18</v>
      </c>
      <c r="G169" s="9" t="s">
        <v>380</v>
      </c>
      <c r="H169" s="9" t="s">
        <v>177</v>
      </c>
      <c r="I169" s="9"/>
      <c r="J169" s="9"/>
      <c r="K169" s="9" t="s">
        <v>305</v>
      </c>
      <c r="L169" s="9" t="s">
        <v>691</v>
      </c>
      <c r="M169" s="9"/>
    </row>
    <row r="170" spans="1:13" ht="30" x14ac:dyDescent="0.25">
      <c r="A170" s="9" t="s">
        <v>275</v>
      </c>
      <c r="B170" s="9" t="s">
        <v>307</v>
      </c>
      <c r="C170" s="9">
        <v>2019</v>
      </c>
      <c r="D170" s="9" t="s">
        <v>676</v>
      </c>
      <c r="E170" s="9" t="s">
        <v>682</v>
      </c>
      <c r="F170" s="9">
        <v>18939</v>
      </c>
      <c r="G170" s="9" t="s">
        <v>458</v>
      </c>
      <c r="H170" s="9" t="s">
        <v>683</v>
      </c>
      <c r="I170" s="9" t="s">
        <v>692</v>
      </c>
      <c r="J170" s="9"/>
      <c r="K170" s="9" t="s">
        <v>312</v>
      </c>
      <c r="L170" s="9" t="s">
        <v>681</v>
      </c>
      <c r="M170" s="9"/>
    </row>
    <row r="171" spans="1:13" ht="30" x14ac:dyDescent="0.25">
      <c r="A171" s="9" t="s">
        <v>275</v>
      </c>
      <c r="B171" s="9" t="s">
        <v>307</v>
      </c>
      <c r="C171" s="9">
        <v>2019</v>
      </c>
      <c r="D171" s="9" t="s">
        <v>502</v>
      </c>
      <c r="E171" s="9" t="s">
        <v>688</v>
      </c>
      <c r="F171" s="9">
        <v>18568</v>
      </c>
      <c r="G171" s="9" t="s">
        <v>458</v>
      </c>
      <c r="H171" s="9" t="s">
        <v>689</v>
      </c>
      <c r="I171" s="9" t="s">
        <v>693</v>
      </c>
      <c r="J171" s="9"/>
      <c r="K171" s="9" t="s">
        <v>312</v>
      </c>
      <c r="L171" s="9" t="s">
        <v>681</v>
      </c>
      <c r="M171" s="9"/>
    </row>
    <row r="172" spans="1:13" ht="30" x14ac:dyDescent="0.25">
      <c r="A172" s="9" t="s">
        <v>275</v>
      </c>
      <c r="B172" s="9" t="s">
        <v>307</v>
      </c>
      <c r="C172" s="9">
        <v>2019</v>
      </c>
      <c r="D172" s="9" t="s">
        <v>671</v>
      </c>
      <c r="E172" s="9" t="s">
        <v>694</v>
      </c>
      <c r="F172" s="9">
        <v>26000</v>
      </c>
      <c r="G172" s="9" t="s">
        <v>678</v>
      </c>
      <c r="H172" s="9" t="s">
        <v>695</v>
      </c>
      <c r="I172" s="9"/>
      <c r="J172" s="9"/>
      <c r="K172" s="9" t="s">
        <v>312</v>
      </c>
      <c r="L172" s="9" t="s">
        <v>681</v>
      </c>
      <c r="M172" s="9"/>
    </row>
    <row r="173" spans="1:13" ht="30" x14ac:dyDescent="0.25">
      <c r="A173" s="9" t="s">
        <v>275</v>
      </c>
      <c r="B173" s="9" t="s">
        <v>307</v>
      </c>
      <c r="C173" s="9">
        <v>2019</v>
      </c>
      <c r="D173" s="9" t="s">
        <v>390</v>
      </c>
      <c r="E173" s="9" t="s">
        <v>696</v>
      </c>
      <c r="F173" s="9">
        <v>11</v>
      </c>
      <c r="G173" s="9" t="s">
        <v>380</v>
      </c>
      <c r="H173" s="9" t="s">
        <v>697</v>
      </c>
      <c r="I173" s="9" t="s">
        <v>698</v>
      </c>
      <c r="J173" s="9"/>
      <c r="K173" s="9" t="s">
        <v>312</v>
      </c>
      <c r="L173" s="9" t="s">
        <v>660</v>
      </c>
      <c r="M173" s="9" t="s">
        <v>699</v>
      </c>
    </row>
    <row r="174" spans="1:13" ht="30" x14ac:dyDescent="0.25">
      <c r="A174" s="9" t="s">
        <v>275</v>
      </c>
      <c r="B174" s="9" t="s">
        <v>307</v>
      </c>
      <c r="C174" s="9">
        <v>2019</v>
      </c>
      <c r="D174" s="9" t="s">
        <v>390</v>
      </c>
      <c r="E174" s="9" t="s">
        <v>700</v>
      </c>
      <c r="F174" s="9">
        <v>5</v>
      </c>
      <c r="G174" s="9" t="s">
        <v>380</v>
      </c>
      <c r="H174" s="9" t="s">
        <v>697</v>
      </c>
      <c r="I174" s="9" t="s">
        <v>701</v>
      </c>
      <c r="J174" s="9"/>
      <c r="K174" s="9" t="s">
        <v>312</v>
      </c>
      <c r="L174" s="9" t="s">
        <v>660</v>
      </c>
      <c r="M174" s="9" t="s">
        <v>702</v>
      </c>
    </row>
    <row r="175" spans="1:13" ht="30" x14ac:dyDescent="0.25">
      <c r="A175" s="9" t="s">
        <v>275</v>
      </c>
      <c r="B175" s="9" t="s">
        <v>314</v>
      </c>
      <c r="C175" s="9">
        <v>2020</v>
      </c>
      <c r="D175" s="9" t="s">
        <v>676</v>
      </c>
      <c r="E175" s="9" t="s">
        <v>682</v>
      </c>
      <c r="F175" s="9">
        <v>27694</v>
      </c>
      <c r="G175" s="9" t="s">
        <v>458</v>
      </c>
      <c r="H175" s="9" t="s">
        <v>683</v>
      </c>
      <c r="I175" s="9" t="s">
        <v>703</v>
      </c>
      <c r="J175" s="9"/>
      <c r="K175" s="9" t="s">
        <v>321</v>
      </c>
      <c r="L175" s="9" t="s">
        <v>681</v>
      </c>
      <c r="M175" s="9"/>
    </row>
    <row r="176" spans="1:13" ht="30" x14ac:dyDescent="0.25">
      <c r="A176" s="9" t="s">
        <v>275</v>
      </c>
      <c r="B176" s="9" t="s">
        <v>314</v>
      </c>
      <c r="C176" s="9">
        <v>2020</v>
      </c>
      <c r="D176" s="9" t="s">
        <v>502</v>
      </c>
      <c r="E176" s="9" t="s">
        <v>688</v>
      </c>
      <c r="F176" s="9">
        <v>16412</v>
      </c>
      <c r="G176" s="9" t="s">
        <v>458</v>
      </c>
      <c r="H176" s="9" t="s">
        <v>689</v>
      </c>
      <c r="I176" s="9" t="s">
        <v>704</v>
      </c>
      <c r="J176" s="9"/>
      <c r="K176" s="9" t="s">
        <v>321</v>
      </c>
      <c r="L176" s="9" t="s">
        <v>681</v>
      </c>
      <c r="M176" s="9"/>
    </row>
    <row r="177" spans="1:13" ht="30" x14ac:dyDescent="0.25">
      <c r="A177" s="9" t="s">
        <v>275</v>
      </c>
      <c r="B177" s="9" t="s">
        <v>314</v>
      </c>
      <c r="C177" s="9">
        <v>2020</v>
      </c>
      <c r="D177" s="9" t="s">
        <v>705</v>
      </c>
      <c r="E177" s="9" t="s">
        <v>706</v>
      </c>
      <c r="F177" s="9">
        <v>65</v>
      </c>
      <c r="G177" s="9" t="s">
        <v>380</v>
      </c>
      <c r="H177" s="9" t="s">
        <v>707</v>
      </c>
      <c r="I177" s="9" t="s">
        <v>708</v>
      </c>
      <c r="J177" s="9"/>
      <c r="K177" s="9" t="s">
        <v>321</v>
      </c>
      <c r="L177" s="9" t="s">
        <v>660</v>
      </c>
      <c r="M177" s="9" t="s">
        <v>709</v>
      </c>
    </row>
    <row r="178" spans="1:13" ht="30" x14ac:dyDescent="0.25">
      <c r="A178" s="9" t="s">
        <v>275</v>
      </c>
      <c r="B178" s="9" t="s">
        <v>314</v>
      </c>
      <c r="C178" s="9">
        <v>2020</v>
      </c>
      <c r="D178" s="9" t="s">
        <v>705</v>
      </c>
      <c r="E178" s="9" t="s">
        <v>710</v>
      </c>
      <c r="F178" s="9">
        <v>35</v>
      </c>
      <c r="G178" s="9" t="s">
        <v>380</v>
      </c>
      <c r="H178" s="9" t="s">
        <v>711</v>
      </c>
      <c r="I178" s="9"/>
      <c r="J178" s="9"/>
      <c r="K178" s="9" t="s">
        <v>321</v>
      </c>
      <c r="L178" s="9" t="s">
        <v>660</v>
      </c>
      <c r="M178" s="9"/>
    </row>
    <row r="179" spans="1:13" ht="30" x14ac:dyDescent="0.25">
      <c r="A179" s="9" t="s">
        <v>323</v>
      </c>
      <c r="B179" s="9" t="s">
        <v>324</v>
      </c>
      <c r="C179" s="9">
        <v>2012</v>
      </c>
      <c r="D179" s="9" t="s">
        <v>378</v>
      </c>
      <c r="E179" s="9" t="s">
        <v>712</v>
      </c>
      <c r="F179" s="9">
        <v>80.900000000000006</v>
      </c>
      <c r="G179" s="9" t="s">
        <v>380</v>
      </c>
      <c r="H179" s="9" t="s">
        <v>713</v>
      </c>
      <c r="I179" s="9"/>
      <c r="J179" s="9"/>
      <c r="K179" s="9" t="s">
        <v>336</v>
      </c>
      <c r="L179" s="9" t="s">
        <v>714</v>
      </c>
      <c r="M179" s="9"/>
    </row>
    <row r="180" spans="1:13" ht="30" x14ac:dyDescent="0.25">
      <c r="A180" s="9" t="s">
        <v>323</v>
      </c>
      <c r="B180" s="9" t="s">
        <v>324</v>
      </c>
      <c r="C180" s="9">
        <v>2012</v>
      </c>
      <c r="D180" s="9" t="s">
        <v>378</v>
      </c>
      <c r="E180" s="9" t="s">
        <v>715</v>
      </c>
      <c r="F180" s="9">
        <v>29.9</v>
      </c>
      <c r="G180" s="9" t="s">
        <v>380</v>
      </c>
      <c r="H180" s="9" t="s">
        <v>713</v>
      </c>
      <c r="I180" s="9"/>
      <c r="J180" s="9"/>
      <c r="K180" s="9" t="s">
        <v>336</v>
      </c>
      <c r="L180" s="9" t="s">
        <v>714</v>
      </c>
      <c r="M180" s="9"/>
    </row>
    <row r="181" spans="1:13" ht="30" x14ac:dyDescent="0.25">
      <c r="A181" s="9" t="s">
        <v>323</v>
      </c>
      <c r="B181" s="9" t="s">
        <v>324</v>
      </c>
      <c r="C181" s="9">
        <v>2012</v>
      </c>
      <c r="D181" s="9" t="s">
        <v>378</v>
      </c>
      <c r="E181" s="9" t="s">
        <v>716</v>
      </c>
      <c r="F181" s="9">
        <v>49</v>
      </c>
      <c r="G181" s="9" t="s">
        <v>380</v>
      </c>
      <c r="H181" s="9" t="s">
        <v>713</v>
      </c>
      <c r="I181" s="9"/>
      <c r="J181" s="9"/>
      <c r="K181" s="9" t="s">
        <v>336</v>
      </c>
      <c r="L181" s="9" t="s">
        <v>714</v>
      </c>
      <c r="M181" s="9"/>
    </row>
    <row r="182" spans="1:13" ht="30" x14ac:dyDescent="0.25">
      <c r="A182" s="9" t="s">
        <v>323</v>
      </c>
      <c r="B182" s="9" t="s">
        <v>324</v>
      </c>
      <c r="C182" s="9">
        <v>2012</v>
      </c>
      <c r="D182" s="9" t="s">
        <v>717</v>
      </c>
      <c r="E182" s="9" t="s">
        <v>718</v>
      </c>
      <c r="F182" s="9">
        <v>43.8</v>
      </c>
      <c r="G182" s="9" t="s">
        <v>380</v>
      </c>
      <c r="H182" s="9" t="s">
        <v>713</v>
      </c>
      <c r="I182" s="9" t="s">
        <v>719</v>
      </c>
      <c r="J182" s="9" t="s">
        <v>720</v>
      </c>
      <c r="K182" s="9" t="s">
        <v>336</v>
      </c>
      <c r="L182" s="9" t="s">
        <v>721</v>
      </c>
      <c r="M182" s="9"/>
    </row>
    <row r="183" spans="1:13" ht="30" x14ac:dyDescent="0.25">
      <c r="A183" s="9" t="s">
        <v>323</v>
      </c>
      <c r="B183" s="9" t="s">
        <v>324</v>
      </c>
      <c r="C183" s="9">
        <v>2012</v>
      </c>
      <c r="D183" s="9" t="s">
        <v>636</v>
      </c>
      <c r="E183" s="9" t="s">
        <v>722</v>
      </c>
      <c r="F183" s="9">
        <v>78.5</v>
      </c>
      <c r="G183" s="9" t="s">
        <v>380</v>
      </c>
      <c r="H183" s="9" t="s">
        <v>713</v>
      </c>
      <c r="I183" s="9" t="s">
        <v>723</v>
      </c>
      <c r="J183" s="9" t="s">
        <v>724</v>
      </c>
      <c r="K183" s="9" t="s">
        <v>336</v>
      </c>
      <c r="L183" s="9" t="s">
        <v>721</v>
      </c>
      <c r="M183" s="9"/>
    </row>
    <row r="184" spans="1:13" ht="30" x14ac:dyDescent="0.25">
      <c r="A184" s="9" t="s">
        <v>323</v>
      </c>
      <c r="B184" s="9" t="s">
        <v>324</v>
      </c>
      <c r="C184" s="9">
        <v>2012</v>
      </c>
      <c r="D184" s="9" t="s">
        <v>608</v>
      </c>
      <c r="E184" s="9" t="s">
        <v>725</v>
      </c>
      <c r="F184" s="9">
        <v>14200000</v>
      </c>
      <c r="G184" s="9" t="s">
        <v>726</v>
      </c>
      <c r="H184" s="9" t="s">
        <v>727</v>
      </c>
      <c r="I184" s="9"/>
      <c r="J184" s="9"/>
      <c r="K184" s="9" t="s">
        <v>336</v>
      </c>
      <c r="L184" s="9" t="s">
        <v>728</v>
      </c>
      <c r="M184" s="9"/>
    </row>
    <row r="185" spans="1:13" ht="30" x14ac:dyDescent="0.25">
      <c r="A185" s="9" t="s">
        <v>323</v>
      </c>
      <c r="B185" s="9" t="s">
        <v>324</v>
      </c>
      <c r="C185" s="9">
        <v>2012</v>
      </c>
      <c r="D185" s="9" t="s">
        <v>676</v>
      </c>
      <c r="E185" s="9" t="s">
        <v>729</v>
      </c>
      <c r="F185" s="9">
        <v>1900</v>
      </c>
      <c r="G185" s="9" t="s">
        <v>730</v>
      </c>
      <c r="H185" s="9" t="s">
        <v>727</v>
      </c>
      <c r="I185" s="9"/>
      <c r="J185" s="9"/>
      <c r="K185" s="9" t="s">
        <v>336</v>
      </c>
      <c r="L185" s="9" t="s">
        <v>728</v>
      </c>
      <c r="M185" s="9"/>
    </row>
    <row r="186" spans="1:13" ht="30" x14ac:dyDescent="0.25">
      <c r="A186" s="9" t="s">
        <v>323</v>
      </c>
      <c r="B186" s="9" t="s">
        <v>324</v>
      </c>
      <c r="C186" s="9">
        <v>2012</v>
      </c>
      <c r="D186" s="9" t="s">
        <v>608</v>
      </c>
      <c r="E186" s="9" t="s">
        <v>731</v>
      </c>
      <c r="F186" s="9">
        <v>6300000</v>
      </c>
      <c r="G186" s="9" t="s">
        <v>726</v>
      </c>
      <c r="H186" s="9" t="s">
        <v>727</v>
      </c>
      <c r="I186" s="9"/>
      <c r="J186" s="9"/>
      <c r="K186" s="9" t="s">
        <v>336</v>
      </c>
      <c r="L186" s="9" t="s">
        <v>728</v>
      </c>
      <c r="M186" s="9"/>
    </row>
    <row r="187" spans="1:13" ht="30" x14ac:dyDescent="0.25">
      <c r="A187" s="9" t="s">
        <v>323</v>
      </c>
      <c r="B187" s="9" t="s">
        <v>324</v>
      </c>
      <c r="C187" s="9">
        <v>2012</v>
      </c>
      <c r="D187" s="9" t="s">
        <v>676</v>
      </c>
      <c r="E187" s="9" t="s">
        <v>732</v>
      </c>
      <c r="F187" s="9">
        <v>6800</v>
      </c>
      <c r="G187" s="9" t="s">
        <v>730</v>
      </c>
      <c r="H187" s="9" t="s">
        <v>727</v>
      </c>
      <c r="I187" s="9"/>
      <c r="J187" s="9"/>
      <c r="K187" s="9" t="s">
        <v>336</v>
      </c>
      <c r="L187" s="9" t="s">
        <v>728</v>
      </c>
      <c r="M187" s="9"/>
    </row>
    <row r="188" spans="1:13" ht="45" x14ac:dyDescent="0.25">
      <c r="A188" s="9" t="s">
        <v>338</v>
      </c>
      <c r="B188" s="9" t="s">
        <v>339</v>
      </c>
      <c r="C188" s="9">
        <v>2009</v>
      </c>
      <c r="D188" s="9" t="s">
        <v>390</v>
      </c>
      <c r="E188" s="9" t="s">
        <v>733</v>
      </c>
      <c r="F188" s="9">
        <v>73</v>
      </c>
      <c r="G188" s="9" t="s">
        <v>380</v>
      </c>
      <c r="H188" s="9" t="s">
        <v>734</v>
      </c>
      <c r="I188" s="9" t="s">
        <v>735</v>
      </c>
      <c r="J188" s="9" t="s">
        <v>736</v>
      </c>
      <c r="K188" s="9" t="s">
        <v>351</v>
      </c>
      <c r="L188" s="9" t="s">
        <v>737</v>
      </c>
      <c r="M188" s="9"/>
    </row>
    <row r="189" spans="1:13" ht="45" x14ac:dyDescent="0.25">
      <c r="A189" s="9" t="s">
        <v>338</v>
      </c>
      <c r="B189" s="9" t="s">
        <v>339</v>
      </c>
      <c r="C189" s="9">
        <v>2009</v>
      </c>
      <c r="D189" s="9" t="s">
        <v>390</v>
      </c>
      <c r="E189" s="9" t="s">
        <v>738</v>
      </c>
      <c r="F189" s="9">
        <v>34</v>
      </c>
      <c r="G189" s="9" t="s">
        <v>380</v>
      </c>
      <c r="H189" s="9" t="s">
        <v>734</v>
      </c>
      <c r="I189" s="9" t="s">
        <v>739</v>
      </c>
      <c r="J189" s="9"/>
      <c r="K189" s="9" t="s">
        <v>351</v>
      </c>
      <c r="L189" s="9" t="s">
        <v>737</v>
      </c>
      <c r="M189" s="9"/>
    </row>
    <row r="190" spans="1:13" ht="45" x14ac:dyDescent="0.25">
      <c r="A190" s="9" t="s">
        <v>338</v>
      </c>
      <c r="B190" s="9" t="s">
        <v>339</v>
      </c>
      <c r="C190" s="9">
        <v>2009</v>
      </c>
      <c r="D190" s="9" t="s">
        <v>390</v>
      </c>
      <c r="E190" s="9" t="s">
        <v>740</v>
      </c>
      <c r="F190" s="9">
        <v>15</v>
      </c>
      <c r="G190" s="9" t="s">
        <v>741</v>
      </c>
      <c r="H190" s="9" t="s">
        <v>742</v>
      </c>
      <c r="I190" s="9"/>
      <c r="J190" s="9"/>
      <c r="K190" s="9" t="s">
        <v>351</v>
      </c>
      <c r="L190" s="9" t="s">
        <v>743</v>
      </c>
      <c r="M190" s="9"/>
    </row>
    <row r="191" spans="1:13" ht="45" x14ac:dyDescent="0.25">
      <c r="A191" s="9" t="s">
        <v>338</v>
      </c>
      <c r="B191" s="9" t="s">
        <v>339</v>
      </c>
      <c r="C191" s="9">
        <v>2009</v>
      </c>
      <c r="D191" s="9" t="s">
        <v>744</v>
      </c>
      <c r="E191" s="9" t="s">
        <v>745</v>
      </c>
      <c r="F191" s="9">
        <v>143</v>
      </c>
      <c r="G191" s="9" t="s">
        <v>380</v>
      </c>
      <c r="H191" s="9" t="s">
        <v>746</v>
      </c>
      <c r="I191" s="9"/>
      <c r="J191" s="9"/>
      <c r="K191" s="9" t="s">
        <v>351</v>
      </c>
      <c r="L191" s="9" t="s">
        <v>747</v>
      </c>
      <c r="M191" s="9" t="s">
        <v>748</v>
      </c>
    </row>
    <row r="192" spans="1:13" ht="30" x14ac:dyDescent="0.25">
      <c r="A192" s="9" t="s">
        <v>353</v>
      </c>
      <c r="B192" s="9" t="s">
        <v>354</v>
      </c>
      <c r="C192" s="9">
        <v>2012</v>
      </c>
      <c r="D192" s="9" t="s">
        <v>603</v>
      </c>
      <c r="E192" s="9" t="s">
        <v>749</v>
      </c>
      <c r="F192" s="9">
        <v>13421</v>
      </c>
      <c r="G192" s="9" t="s">
        <v>365</v>
      </c>
      <c r="H192" s="9" t="s">
        <v>750</v>
      </c>
      <c r="I192" s="9" t="s">
        <v>751</v>
      </c>
      <c r="J192" s="9"/>
      <c r="K192" s="9" t="s">
        <v>367</v>
      </c>
      <c r="L192" s="9" t="s">
        <v>752</v>
      </c>
      <c r="M192" s="9"/>
    </row>
    <row r="193" spans="1:13" ht="30" x14ac:dyDescent="0.25">
      <c r="A193" s="9" t="s">
        <v>353</v>
      </c>
      <c r="B193" s="9" t="s">
        <v>354</v>
      </c>
      <c r="C193" s="9">
        <v>2012</v>
      </c>
      <c r="D193" s="9" t="s">
        <v>603</v>
      </c>
      <c r="E193" s="9" t="s">
        <v>753</v>
      </c>
      <c r="F193" s="9">
        <v>13</v>
      </c>
      <c r="G193" s="9" t="s">
        <v>380</v>
      </c>
      <c r="H193" s="9" t="s">
        <v>754</v>
      </c>
      <c r="I193" s="9" t="s">
        <v>755</v>
      </c>
      <c r="J193" s="9"/>
      <c r="K193" s="9" t="s">
        <v>367</v>
      </c>
      <c r="L193" s="9" t="s">
        <v>626</v>
      </c>
      <c r="M193" s="9"/>
    </row>
    <row r="194" spans="1:13" ht="30" x14ac:dyDescent="0.25">
      <c r="A194" s="9" t="s">
        <v>353</v>
      </c>
      <c r="B194" s="9" t="s">
        <v>354</v>
      </c>
      <c r="C194" s="9">
        <v>2012</v>
      </c>
      <c r="D194" s="9" t="s">
        <v>603</v>
      </c>
      <c r="E194" s="9" t="s">
        <v>756</v>
      </c>
      <c r="F194" s="9">
        <v>18588</v>
      </c>
      <c r="G194" s="9" t="s">
        <v>757</v>
      </c>
      <c r="H194" s="9" t="s">
        <v>758</v>
      </c>
      <c r="I194" s="9"/>
      <c r="J194" s="9"/>
      <c r="K194" s="9" t="s">
        <v>367</v>
      </c>
      <c r="L194" s="9" t="s">
        <v>759</v>
      </c>
      <c r="M194" s="9"/>
    </row>
    <row r="195" spans="1:13" ht="30" x14ac:dyDescent="0.25">
      <c r="A195" s="9" t="s">
        <v>353</v>
      </c>
      <c r="B195" s="9" t="s">
        <v>354</v>
      </c>
      <c r="C195" s="9">
        <v>2012</v>
      </c>
      <c r="D195" s="9" t="s">
        <v>598</v>
      </c>
      <c r="E195" s="9" t="s">
        <v>760</v>
      </c>
      <c r="F195" s="9">
        <v>95</v>
      </c>
      <c r="G195" s="9" t="s">
        <v>761</v>
      </c>
      <c r="H195" s="9" t="s">
        <v>762</v>
      </c>
      <c r="I195" s="9"/>
      <c r="J195" s="9"/>
      <c r="K195" s="9" t="s">
        <v>367</v>
      </c>
      <c r="L195" s="9" t="s">
        <v>626</v>
      </c>
      <c r="M195" s="9"/>
    </row>
    <row r="196" spans="1:13" ht="30" x14ac:dyDescent="0.25">
      <c r="A196" s="9" t="s">
        <v>353</v>
      </c>
      <c r="B196" s="9" t="s">
        <v>354</v>
      </c>
      <c r="C196" s="9">
        <v>2012</v>
      </c>
      <c r="D196" s="9" t="s">
        <v>608</v>
      </c>
      <c r="E196" s="9" t="s">
        <v>763</v>
      </c>
      <c r="F196" s="9">
        <v>86420</v>
      </c>
      <c r="G196" s="9" t="s">
        <v>458</v>
      </c>
      <c r="H196" s="9" t="s">
        <v>764</v>
      </c>
      <c r="I196" s="9"/>
      <c r="J196" s="9"/>
      <c r="K196" s="9" t="s">
        <v>367</v>
      </c>
      <c r="L196" s="9" t="s">
        <v>765</v>
      </c>
      <c r="M196" s="9"/>
    </row>
    <row r="197" spans="1:13" ht="30" x14ac:dyDescent="0.25">
      <c r="A197" s="9" t="s">
        <v>353</v>
      </c>
      <c r="B197" s="9" t="s">
        <v>354</v>
      </c>
      <c r="C197" s="9">
        <v>2012</v>
      </c>
      <c r="D197" s="9" t="s">
        <v>608</v>
      </c>
      <c r="E197" s="9" t="s">
        <v>766</v>
      </c>
      <c r="F197" s="9">
        <v>9258</v>
      </c>
      <c r="G197" s="9" t="s">
        <v>458</v>
      </c>
      <c r="H197" s="9" t="s">
        <v>764</v>
      </c>
      <c r="I197" s="9"/>
      <c r="J197" s="9"/>
      <c r="K197" s="9" t="s">
        <v>367</v>
      </c>
      <c r="L197" s="9" t="s">
        <v>765</v>
      </c>
      <c r="M197" s="9"/>
    </row>
    <row r="198" spans="1:13" ht="45" x14ac:dyDescent="0.25">
      <c r="A198" s="9" t="s">
        <v>767</v>
      </c>
      <c r="B198" s="9" t="s">
        <v>768</v>
      </c>
      <c r="C198" s="9">
        <v>2023</v>
      </c>
      <c r="D198" s="9" t="s">
        <v>662</v>
      </c>
      <c r="E198" s="9" t="s">
        <v>769</v>
      </c>
      <c r="F198" s="9">
        <v>2082286</v>
      </c>
      <c r="G198" s="9" t="s">
        <v>770</v>
      </c>
      <c r="H198" s="9" t="s">
        <v>771</v>
      </c>
      <c r="I198" s="9" t="s">
        <v>772</v>
      </c>
      <c r="J198" s="9" t="s">
        <v>724</v>
      </c>
      <c r="K198" s="9" t="s">
        <v>773</v>
      </c>
      <c r="L198" s="9" t="s">
        <v>774</v>
      </c>
      <c r="M198" s="9"/>
    </row>
    <row r="199" spans="1:13" ht="30" x14ac:dyDescent="0.25">
      <c r="A199" s="9" t="s">
        <v>767</v>
      </c>
      <c r="B199" s="9" t="s">
        <v>768</v>
      </c>
      <c r="C199" s="9">
        <v>2023</v>
      </c>
      <c r="D199" s="9" t="s">
        <v>775</v>
      </c>
      <c r="E199" s="9" t="s">
        <v>776</v>
      </c>
      <c r="F199" s="9">
        <v>76</v>
      </c>
      <c r="G199" s="9" t="s">
        <v>380</v>
      </c>
      <c r="H199" s="9" t="s">
        <v>777</v>
      </c>
      <c r="I199" s="9" t="s">
        <v>778</v>
      </c>
      <c r="J199" s="9" t="s">
        <v>724</v>
      </c>
      <c r="K199" s="9" t="s">
        <v>773</v>
      </c>
      <c r="L199" s="9" t="s">
        <v>779</v>
      </c>
      <c r="M199" s="9"/>
    </row>
    <row r="200" spans="1:13" ht="30" x14ac:dyDescent="0.25">
      <c r="A200" s="9" t="s">
        <v>767</v>
      </c>
      <c r="B200" s="9" t="s">
        <v>768</v>
      </c>
      <c r="C200" s="9">
        <v>2023</v>
      </c>
      <c r="D200" s="9" t="s">
        <v>775</v>
      </c>
      <c r="E200" s="9" t="s">
        <v>780</v>
      </c>
      <c r="F200" s="9">
        <v>32</v>
      </c>
      <c r="G200" s="9" t="s">
        <v>380</v>
      </c>
      <c r="H200" s="9" t="s">
        <v>781</v>
      </c>
      <c r="I200" s="9" t="s">
        <v>778</v>
      </c>
      <c r="J200" s="9" t="s">
        <v>724</v>
      </c>
      <c r="K200" s="9" t="s">
        <v>773</v>
      </c>
      <c r="L200" s="9" t="s">
        <v>714</v>
      </c>
      <c r="M200" s="9"/>
    </row>
    <row r="201" spans="1:13" ht="30" x14ac:dyDescent="0.25">
      <c r="A201" s="9" t="s">
        <v>767</v>
      </c>
      <c r="B201" s="9" t="s">
        <v>782</v>
      </c>
      <c r="C201" s="9">
        <v>2020</v>
      </c>
      <c r="D201" s="9" t="s">
        <v>775</v>
      </c>
      <c r="E201" s="9" t="s">
        <v>783</v>
      </c>
      <c r="F201" s="9">
        <v>25</v>
      </c>
      <c r="G201" s="9" t="s">
        <v>380</v>
      </c>
      <c r="H201" s="9" t="s">
        <v>784</v>
      </c>
      <c r="I201" s="9" t="s">
        <v>785</v>
      </c>
      <c r="J201" s="9" t="s">
        <v>565</v>
      </c>
      <c r="K201" s="9" t="s">
        <v>773</v>
      </c>
      <c r="L201" s="9" t="s">
        <v>786</v>
      </c>
      <c r="M201" s="9" t="s">
        <v>787</v>
      </c>
    </row>
    <row r="202" spans="1:13" ht="30" x14ac:dyDescent="0.25">
      <c r="A202" s="9" t="s">
        <v>767</v>
      </c>
      <c r="B202" s="9" t="s">
        <v>768</v>
      </c>
      <c r="C202" s="9">
        <v>2023</v>
      </c>
      <c r="D202" s="9" t="s">
        <v>788</v>
      </c>
      <c r="E202" s="9" t="s">
        <v>789</v>
      </c>
      <c r="F202" s="9">
        <v>39.94</v>
      </c>
      <c r="G202" s="9" t="s">
        <v>790</v>
      </c>
      <c r="H202" s="9" t="s">
        <v>791</v>
      </c>
      <c r="I202" s="9"/>
      <c r="J202" s="9" t="s">
        <v>792</v>
      </c>
      <c r="K202" s="9" t="s">
        <v>773</v>
      </c>
      <c r="L202" s="9" t="s">
        <v>793</v>
      </c>
      <c r="M202" s="9"/>
    </row>
  </sheetData>
  <autoFilter ref="A1:M20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5"/>
  <sheetViews>
    <sheetView showGridLines="0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0" customWidth="1"/>
    <col min="2" max="2" width="80" customWidth="1"/>
    <col min="3" max="3" width="28" customWidth="1"/>
  </cols>
  <sheetData>
    <row r="1" spans="1:3" ht="33.950000000000003" customHeight="1" x14ac:dyDescent="0.25">
      <c r="A1" s="10" t="s">
        <v>794</v>
      </c>
      <c r="B1" s="10" t="s">
        <v>795</v>
      </c>
      <c r="C1" s="10" t="s">
        <v>796</v>
      </c>
    </row>
    <row r="2" spans="1:3" x14ac:dyDescent="0.25">
      <c r="A2" s="9" t="s">
        <v>0</v>
      </c>
      <c r="B2" s="9" t="s">
        <v>797</v>
      </c>
      <c r="C2" s="9" t="s">
        <v>798</v>
      </c>
    </row>
    <row r="3" spans="1:3" x14ac:dyDescent="0.25">
      <c r="A3" s="9" t="s">
        <v>1</v>
      </c>
      <c r="B3" s="9" t="s">
        <v>799</v>
      </c>
      <c r="C3" s="9" t="s">
        <v>798</v>
      </c>
    </row>
    <row r="4" spans="1:3" x14ac:dyDescent="0.25">
      <c r="A4" s="9" t="s">
        <v>2</v>
      </c>
      <c r="B4" s="9" t="s">
        <v>800</v>
      </c>
      <c r="C4" s="9" t="s">
        <v>798</v>
      </c>
    </row>
    <row r="5" spans="1:3" x14ac:dyDescent="0.25">
      <c r="A5" s="9" t="s">
        <v>3</v>
      </c>
      <c r="B5" s="9" t="s">
        <v>801</v>
      </c>
      <c r="C5" s="9" t="s">
        <v>802</v>
      </c>
    </row>
    <row r="6" spans="1:3" x14ac:dyDescent="0.25">
      <c r="A6" s="9" t="s">
        <v>4</v>
      </c>
      <c r="B6" s="9" t="s">
        <v>803</v>
      </c>
      <c r="C6" s="9" t="s">
        <v>804</v>
      </c>
    </row>
    <row r="7" spans="1:3" x14ac:dyDescent="0.25">
      <c r="A7" s="9" t="s">
        <v>5</v>
      </c>
      <c r="B7" s="9" t="s">
        <v>805</v>
      </c>
      <c r="C7" s="9" t="s">
        <v>804</v>
      </c>
    </row>
    <row r="8" spans="1:3" x14ac:dyDescent="0.25">
      <c r="A8" s="9" t="s">
        <v>6</v>
      </c>
      <c r="B8" s="9" t="s">
        <v>806</v>
      </c>
      <c r="C8" s="9" t="s">
        <v>807</v>
      </c>
    </row>
    <row r="9" spans="1:3" x14ac:dyDescent="0.25">
      <c r="A9" s="9" t="s">
        <v>7</v>
      </c>
      <c r="B9" s="9" t="s">
        <v>808</v>
      </c>
      <c r="C9" s="9" t="s">
        <v>798</v>
      </c>
    </row>
    <row r="10" spans="1:3" x14ac:dyDescent="0.25">
      <c r="A10" s="9" t="s">
        <v>8</v>
      </c>
      <c r="B10" s="9" t="s">
        <v>809</v>
      </c>
      <c r="C10" s="9" t="s">
        <v>798</v>
      </c>
    </row>
    <row r="11" spans="1:3" x14ac:dyDescent="0.25">
      <c r="A11" s="9" t="s">
        <v>9</v>
      </c>
      <c r="B11" s="9" t="s">
        <v>810</v>
      </c>
      <c r="C11" s="9" t="s">
        <v>811</v>
      </c>
    </row>
    <row r="12" spans="1:3" x14ac:dyDescent="0.25">
      <c r="A12" s="9" t="s">
        <v>10</v>
      </c>
      <c r="B12" s="9" t="s">
        <v>812</v>
      </c>
      <c r="C12" s="9" t="s">
        <v>811</v>
      </c>
    </row>
    <row r="13" spans="1:3" x14ac:dyDescent="0.25">
      <c r="A13" s="9" t="s">
        <v>11</v>
      </c>
      <c r="B13" s="9" t="s">
        <v>813</v>
      </c>
      <c r="C13" s="9" t="s">
        <v>814</v>
      </c>
    </row>
    <row r="14" spans="1:3" x14ac:dyDescent="0.25">
      <c r="A14" s="9" t="s">
        <v>12</v>
      </c>
      <c r="B14" s="9" t="s">
        <v>815</v>
      </c>
      <c r="C14" s="9" t="s">
        <v>798</v>
      </c>
    </row>
    <row r="15" spans="1:3" x14ac:dyDescent="0.25">
      <c r="A15" s="9" t="s">
        <v>13</v>
      </c>
      <c r="B15" s="9" t="s">
        <v>816</v>
      </c>
      <c r="C15" s="9" t="s">
        <v>798</v>
      </c>
    </row>
    <row r="16" spans="1:3" x14ac:dyDescent="0.25">
      <c r="A16" s="9" t="s">
        <v>14</v>
      </c>
      <c r="B16" s="9" t="s">
        <v>817</v>
      </c>
      <c r="C16" s="9" t="s">
        <v>802</v>
      </c>
    </row>
    <row r="17" spans="1:3" x14ac:dyDescent="0.25">
      <c r="A17" s="9" t="s">
        <v>15</v>
      </c>
      <c r="B17" s="9" t="s">
        <v>818</v>
      </c>
      <c r="C17" s="9" t="s">
        <v>802</v>
      </c>
    </row>
    <row r="18" spans="1:3" x14ac:dyDescent="0.25">
      <c r="A18" s="9" t="s">
        <v>16</v>
      </c>
      <c r="B18" s="9" t="s">
        <v>819</v>
      </c>
      <c r="C18" s="9" t="s">
        <v>820</v>
      </c>
    </row>
    <row r="19" spans="1:3" x14ac:dyDescent="0.25">
      <c r="A19" s="9" t="s">
        <v>17</v>
      </c>
      <c r="B19" s="9" t="s">
        <v>821</v>
      </c>
      <c r="C19" s="9" t="s">
        <v>802</v>
      </c>
    </row>
    <row r="20" spans="1:3" x14ac:dyDescent="0.25">
      <c r="A20" s="9" t="s">
        <v>18</v>
      </c>
      <c r="B20" s="9" t="s">
        <v>822</v>
      </c>
      <c r="C20" s="9" t="s">
        <v>823</v>
      </c>
    </row>
    <row r="21" spans="1:3" x14ac:dyDescent="0.25">
      <c r="A21" s="9" t="s">
        <v>19</v>
      </c>
      <c r="B21" s="9" t="s">
        <v>824</v>
      </c>
      <c r="C21" s="9" t="s">
        <v>823</v>
      </c>
    </row>
    <row r="22" spans="1:3" x14ac:dyDescent="0.25">
      <c r="A22" s="9" t="s">
        <v>20</v>
      </c>
      <c r="B22" s="9" t="s">
        <v>825</v>
      </c>
      <c r="C22" s="9" t="s">
        <v>826</v>
      </c>
    </row>
    <row r="23" spans="1:3" x14ac:dyDescent="0.25">
      <c r="A23" s="9" t="s">
        <v>21</v>
      </c>
      <c r="B23" s="9" t="s">
        <v>827</v>
      </c>
      <c r="C23" s="9" t="s">
        <v>826</v>
      </c>
    </row>
    <row r="24" spans="1:3" x14ac:dyDescent="0.25">
      <c r="A24" s="9" t="s">
        <v>22</v>
      </c>
      <c r="B24" s="9" t="s">
        <v>828</v>
      </c>
      <c r="C24" s="9" t="s">
        <v>798</v>
      </c>
    </row>
    <row r="25" spans="1:3" x14ac:dyDescent="0.25">
      <c r="A25" s="9" t="s">
        <v>23</v>
      </c>
      <c r="B25" s="9" t="s">
        <v>829</v>
      </c>
      <c r="C25" s="9" t="s">
        <v>830</v>
      </c>
    </row>
    <row r="26" spans="1:3" x14ac:dyDescent="0.25">
      <c r="A26" s="9" t="s">
        <v>24</v>
      </c>
      <c r="B26" s="9" t="s">
        <v>831</v>
      </c>
      <c r="C26" s="9" t="s">
        <v>830</v>
      </c>
    </row>
    <row r="27" spans="1:3" x14ac:dyDescent="0.25">
      <c r="A27" s="9" t="s">
        <v>25</v>
      </c>
      <c r="B27" s="9" t="s">
        <v>832</v>
      </c>
      <c r="C27" s="9" t="s">
        <v>830</v>
      </c>
    </row>
    <row r="28" spans="1:3" x14ac:dyDescent="0.25">
      <c r="A28" s="9" t="s">
        <v>26</v>
      </c>
      <c r="B28" s="9" t="s">
        <v>833</v>
      </c>
      <c r="C28" s="9" t="s">
        <v>830</v>
      </c>
    </row>
    <row r="29" spans="1:3" x14ac:dyDescent="0.25">
      <c r="A29" s="9" t="s">
        <v>27</v>
      </c>
      <c r="B29" s="9" t="s">
        <v>834</v>
      </c>
      <c r="C29" s="9" t="s">
        <v>830</v>
      </c>
    </row>
    <row r="30" spans="1:3" x14ac:dyDescent="0.25">
      <c r="A30" s="9" t="s">
        <v>28</v>
      </c>
      <c r="B30" s="9" t="s">
        <v>835</v>
      </c>
      <c r="C30" s="9" t="s">
        <v>798</v>
      </c>
    </row>
    <row r="31" spans="1:3" ht="30" x14ac:dyDescent="0.25">
      <c r="A31" s="9" t="s">
        <v>29</v>
      </c>
      <c r="B31" s="9" t="s">
        <v>836</v>
      </c>
      <c r="C31" s="9" t="s">
        <v>837</v>
      </c>
    </row>
    <row r="32" spans="1:3" x14ac:dyDescent="0.25">
      <c r="A32" s="9" t="s">
        <v>30</v>
      </c>
      <c r="B32" s="9" t="s">
        <v>838</v>
      </c>
      <c r="C32" s="9" t="s">
        <v>839</v>
      </c>
    </row>
    <row r="33" spans="1:3" x14ac:dyDescent="0.25">
      <c r="A33" s="9" t="s">
        <v>31</v>
      </c>
      <c r="B33" s="9" t="s">
        <v>840</v>
      </c>
      <c r="C33" s="9" t="s">
        <v>841</v>
      </c>
    </row>
    <row r="34" spans="1:3" x14ac:dyDescent="0.25">
      <c r="A34" s="9" t="s">
        <v>32</v>
      </c>
      <c r="B34" s="9" t="s">
        <v>842</v>
      </c>
      <c r="C34" s="9" t="s">
        <v>798</v>
      </c>
    </row>
    <row r="35" spans="1:3" x14ac:dyDescent="0.25">
      <c r="A35" s="9" t="s">
        <v>33</v>
      </c>
      <c r="B35" s="9" t="s">
        <v>843</v>
      </c>
      <c r="C35" s="9" t="s">
        <v>826</v>
      </c>
    </row>
    <row r="36" spans="1:3" x14ac:dyDescent="0.25">
      <c r="A36" s="9" t="s">
        <v>34</v>
      </c>
      <c r="B36" s="9" t="s">
        <v>844</v>
      </c>
      <c r="C36" s="9" t="s">
        <v>798</v>
      </c>
    </row>
    <row r="37" spans="1:3" x14ac:dyDescent="0.25">
      <c r="A37" s="9" t="s">
        <v>35</v>
      </c>
      <c r="B37" s="9" t="s">
        <v>845</v>
      </c>
      <c r="C37" s="9" t="s">
        <v>846</v>
      </c>
    </row>
    <row r="38" spans="1:3" x14ac:dyDescent="0.25">
      <c r="A38" s="9" t="s">
        <v>36</v>
      </c>
      <c r="B38" s="9" t="s">
        <v>847</v>
      </c>
      <c r="C38" s="9" t="s">
        <v>830</v>
      </c>
    </row>
    <row r="39" spans="1:3" x14ac:dyDescent="0.25">
      <c r="A39" s="9" t="s">
        <v>37</v>
      </c>
      <c r="B39" s="9" t="s">
        <v>848</v>
      </c>
      <c r="C39" s="9" t="s">
        <v>802</v>
      </c>
    </row>
    <row r="40" spans="1:3" x14ac:dyDescent="0.25">
      <c r="A40" s="9" t="s">
        <v>38</v>
      </c>
      <c r="B40" s="9" t="s">
        <v>849</v>
      </c>
      <c r="C40" s="9" t="s">
        <v>798</v>
      </c>
    </row>
    <row r="41" spans="1:3" x14ac:dyDescent="0.25">
      <c r="A41" s="9" t="s">
        <v>39</v>
      </c>
      <c r="B41" s="9" t="s">
        <v>850</v>
      </c>
      <c r="C41" s="9" t="s">
        <v>798</v>
      </c>
    </row>
    <row r="42" spans="1:3" x14ac:dyDescent="0.25">
      <c r="A42" s="9" t="s">
        <v>40</v>
      </c>
      <c r="B42" s="9" t="s">
        <v>851</v>
      </c>
      <c r="C42" s="9" t="s">
        <v>798</v>
      </c>
    </row>
    <row r="43" spans="1:3" x14ac:dyDescent="0.25">
      <c r="A43" s="9"/>
      <c r="B43" s="9"/>
      <c r="C43" s="9"/>
    </row>
    <row r="44" spans="1:3" ht="45" x14ac:dyDescent="0.25">
      <c r="A44" s="9" t="s">
        <v>852</v>
      </c>
      <c r="B44" s="9" t="s">
        <v>853</v>
      </c>
      <c r="C44" s="9"/>
    </row>
    <row r="45" spans="1:3" ht="30" x14ac:dyDescent="0.25">
      <c r="A45" s="9" t="s">
        <v>854</v>
      </c>
      <c r="B45" s="9" t="s">
        <v>855</v>
      </c>
      <c r="C45" s="9"/>
    </row>
  </sheetData>
  <autoFilter ref="A1:C4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2"/>
  <sheetViews>
    <sheetView showGridLines="0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8" customWidth="1"/>
    <col min="2" max="2" width="52" customWidth="1"/>
    <col min="3" max="3" width="24" customWidth="1"/>
    <col min="4" max="4" width="22" customWidth="1"/>
    <col min="5" max="5" width="60" customWidth="1"/>
    <col min="6" max="6" width="38" customWidth="1"/>
  </cols>
  <sheetData>
    <row r="1" spans="1:6" ht="33.950000000000003" customHeight="1" x14ac:dyDescent="0.25">
      <c r="A1" s="10" t="s">
        <v>39</v>
      </c>
      <c r="B1" s="10" t="s">
        <v>856</v>
      </c>
      <c r="C1" s="10" t="s">
        <v>857</v>
      </c>
      <c r="D1" s="10" t="s">
        <v>858</v>
      </c>
      <c r="E1" s="10" t="s">
        <v>859</v>
      </c>
      <c r="F1" s="10" t="s">
        <v>860</v>
      </c>
    </row>
    <row r="2" spans="1:6" ht="30" x14ac:dyDescent="0.25">
      <c r="A2" s="9" t="s">
        <v>861</v>
      </c>
      <c r="B2" s="9" t="s">
        <v>862</v>
      </c>
      <c r="C2" s="9" t="s">
        <v>46</v>
      </c>
      <c r="D2" s="9" t="s">
        <v>863</v>
      </c>
      <c r="E2" s="9" t="s">
        <v>864</v>
      </c>
      <c r="F2" s="9" t="s">
        <v>865</v>
      </c>
    </row>
    <row r="3" spans="1:6" ht="30" x14ac:dyDescent="0.25">
      <c r="A3" s="9" t="s">
        <v>56</v>
      </c>
      <c r="B3" s="9" t="s">
        <v>866</v>
      </c>
      <c r="C3" s="9" t="s">
        <v>46</v>
      </c>
      <c r="D3" s="9" t="s">
        <v>867</v>
      </c>
      <c r="E3" s="9" t="s">
        <v>868</v>
      </c>
      <c r="F3" s="9" t="s">
        <v>865</v>
      </c>
    </row>
    <row r="4" spans="1:6" ht="30" x14ac:dyDescent="0.25">
      <c r="A4" s="9" t="s">
        <v>64</v>
      </c>
      <c r="B4" s="9" t="s">
        <v>869</v>
      </c>
      <c r="C4" s="9" t="s">
        <v>46</v>
      </c>
      <c r="D4" s="9" t="s">
        <v>867</v>
      </c>
      <c r="E4" s="9" t="s">
        <v>868</v>
      </c>
      <c r="F4" s="9" t="s">
        <v>865</v>
      </c>
    </row>
    <row r="5" spans="1:6" ht="30" x14ac:dyDescent="0.25">
      <c r="A5" s="9" t="s">
        <v>78</v>
      </c>
      <c r="B5" s="9" t="s">
        <v>870</v>
      </c>
      <c r="C5" s="9" t="s">
        <v>46</v>
      </c>
      <c r="D5" s="9" t="s">
        <v>867</v>
      </c>
      <c r="E5" s="9" t="s">
        <v>868</v>
      </c>
      <c r="F5" s="9" t="s">
        <v>865</v>
      </c>
    </row>
    <row r="6" spans="1:6" x14ac:dyDescent="0.25">
      <c r="A6" s="9" t="s">
        <v>93</v>
      </c>
      <c r="B6" s="9" t="s">
        <v>871</v>
      </c>
      <c r="C6" s="9" t="s">
        <v>84</v>
      </c>
      <c r="D6" s="9" t="s">
        <v>867</v>
      </c>
      <c r="E6" s="9" t="s">
        <v>868</v>
      </c>
      <c r="F6" s="9" t="s">
        <v>865</v>
      </c>
    </row>
    <row r="7" spans="1:6" x14ac:dyDescent="0.25">
      <c r="A7" s="9" t="s">
        <v>114</v>
      </c>
      <c r="B7" s="9" t="s">
        <v>872</v>
      </c>
      <c r="C7" s="9" t="s">
        <v>98</v>
      </c>
      <c r="D7" s="9" t="s">
        <v>867</v>
      </c>
      <c r="E7" s="9" t="s">
        <v>873</v>
      </c>
      <c r="F7" s="9" t="s">
        <v>865</v>
      </c>
    </row>
    <row r="8" spans="1:6" ht="30" x14ac:dyDescent="0.25">
      <c r="A8" s="9" t="s">
        <v>475</v>
      </c>
      <c r="B8" s="9" t="s">
        <v>874</v>
      </c>
      <c r="C8" s="9" t="s">
        <v>98</v>
      </c>
      <c r="D8" s="9" t="s">
        <v>867</v>
      </c>
      <c r="E8" s="9" t="s">
        <v>875</v>
      </c>
      <c r="F8" s="9" t="s">
        <v>865</v>
      </c>
    </row>
    <row r="9" spans="1:6" x14ac:dyDescent="0.25">
      <c r="A9" s="9" t="s">
        <v>149</v>
      </c>
      <c r="B9" s="9" t="s">
        <v>876</v>
      </c>
      <c r="C9" s="9" t="s">
        <v>877</v>
      </c>
      <c r="D9" s="9" t="s">
        <v>867</v>
      </c>
      <c r="E9" s="9" t="s">
        <v>878</v>
      </c>
      <c r="F9" s="9" t="s">
        <v>865</v>
      </c>
    </row>
    <row r="10" spans="1:6" ht="30" x14ac:dyDescent="0.25">
      <c r="A10" s="9" t="s">
        <v>167</v>
      </c>
      <c r="B10" s="9" t="s">
        <v>879</v>
      </c>
      <c r="C10" s="9" t="s">
        <v>880</v>
      </c>
      <c r="D10" s="9" t="s">
        <v>867</v>
      </c>
      <c r="E10" s="9" t="s">
        <v>881</v>
      </c>
      <c r="F10" s="9" t="s">
        <v>865</v>
      </c>
    </row>
    <row r="11" spans="1:6" x14ac:dyDescent="0.25">
      <c r="A11" s="9" t="s">
        <v>184</v>
      </c>
      <c r="B11" s="9" t="s">
        <v>882</v>
      </c>
      <c r="C11" s="9" t="s">
        <v>173</v>
      </c>
      <c r="D11" s="9" t="s">
        <v>867</v>
      </c>
      <c r="E11" s="9" t="s">
        <v>883</v>
      </c>
      <c r="F11" s="9" t="s">
        <v>865</v>
      </c>
    </row>
    <row r="12" spans="1:6" x14ac:dyDescent="0.25">
      <c r="A12" s="9" t="s">
        <v>520</v>
      </c>
      <c r="B12" s="9" t="s">
        <v>884</v>
      </c>
      <c r="C12" s="9" t="s">
        <v>173</v>
      </c>
      <c r="D12" s="9" t="s">
        <v>885</v>
      </c>
      <c r="E12" s="9" t="s">
        <v>886</v>
      </c>
      <c r="F12" s="9" t="s">
        <v>865</v>
      </c>
    </row>
    <row r="13" spans="1:6" ht="30" x14ac:dyDescent="0.25">
      <c r="A13" s="9" t="s">
        <v>539</v>
      </c>
      <c r="B13" s="9" t="s">
        <v>887</v>
      </c>
      <c r="C13" s="9" t="s">
        <v>173</v>
      </c>
      <c r="D13" s="9" t="s">
        <v>888</v>
      </c>
      <c r="E13" s="9" t="s">
        <v>889</v>
      </c>
      <c r="F13" s="9" t="s">
        <v>865</v>
      </c>
    </row>
    <row r="14" spans="1:6" ht="30" x14ac:dyDescent="0.25">
      <c r="A14" s="9" t="s">
        <v>202</v>
      </c>
      <c r="B14" s="9" t="s">
        <v>890</v>
      </c>
      <c r="C14" s="9" t="s">
        <v>173</v>
      </c>
      <c r="D14" s="9" t="s">
        <v>867</v>
      </c>
      <c r="E14" s="9" t="s">
        <v>891</v>
      </c>
      <c r="F14" s="9"/>
    </row>
    <row r="15" spans="1:6" ht="30" x14ac:dyDescent="0.25">
      <c r="A15" s="9" t="s">
        <v>217</v>
      </c>
      <c r="B15" s="9" t="s">
        <v>892</v>
      </c>
      <c r="C15" s="9" t="s">
        <v>893</v>
      </c>
      <c r="D15" s="9" t="s">
        <v>867</v>
      </c>
      <c r="E15" s="9" t="s">
        <v>894</v>
      </c>
      <c r="F15" s="9"/>
    </row>
    <row r="16" spans="1:6" ht="30" x14ac:dyDescent="0.25">
      <c r="A16" s="9" t="s">
        <v>235</v>
      </c>
      <c r="B16" s="9" t="s">
        <v>895</v>
      </c>
      <c r="C16" s="9" t="s">
        <v>896</v>
      </c>
      <c r="D16" s="9" t="s">
        <v>867</v>
      </c>
      <c r="E16" s="9" t="s">
        <v>897</v>
      </c>
      <c r="F16" s="9"/>
    </row>
    <row r="17" spans="1:6" ht="30" x14ac:dyDescent="0.25">
      <c r="A17" s="9" t="s">
        <v>253</v>
      </c>
      <c r="B17" s="9" t="s">
        <v>898</v>
      </c>
      <c r="C17" s="9" t="s">
        <v>242</v>
      </c>
      <c r="D17" s="9" t="s">
        <v>867</v>
      </c>
      <c r="E17" s="9" t="s">
        <v>899</v>
      </c>
      <c r="F17" s="9"/>
    </row>
    <row r="18" spans="1:6" ht="45" x14ac:dyDescent="0.25">
      <c r="A18" s="9" t="s">
        <v>900</v>
      </c>
      <c r="B18" s="9" t="s">
        <v>901</v>
      </c>
      <c r="C18" s="9" t="s">
        <v>902</v>
      </c>
      <c r="D18" s="9" t="s">
        <v>903</v>
      </c>
      <c r="E18" s="9" t="s">
        <v>904</v>
      </c>
      <c r="F18" s="9"/>
    </row>
    <row r="19" spans="1:6" ht="60" x14ac:dyDescent="0.25">
      <c r="A19" s="9" t="s">
        <v>267</v>
      </c>
      <c r="B19" s="9" t="s">
        <v>905</v>
      </c>
      <c r="C19" s="9" t="s">
        <v>225</v>
      </c>
      <c r="D19" s="9" t="s">
        <v>867</v>
      </c>
      <c r="E19" s="9" t="s">
        <v>906</v>
      </c>
      <c r="F19" s="9"/>
    </row>
    <row r="20" spans="1:6" ht="60" x14ac:dyDescent="0.25">
      <c r="A20" s="9" t="s">
        <v>273</v>
      </c>
      <c r="B20" s="9" t="s">
        <v>907</v>
      </c>
      <c r="C20" s="9" t="s">
        <v>225</v>
      </c>
      <c r="D20" s="9" t="s">
        <v>867</v>
      </c>
      <c r="E20" s="9" t="s">
        <v>908</v>
      </c>
      <c r="F20" s="9"/>
    </row>
    <row r="21" spans="1:6" ht="30" x14ac:dyDescent="0.25">
      <c r="A21" s="9" t="s">
        <v>909</v>
      </c>
      <c r="B21" s="9" t="s">
        <v>910</v>
      </c>
      <c r="C21" s="9" t="s">
        <v>173</v>
      </c>
      <c r="D21" s="9" t="s">
        <v>903</v>
      </c>
      <c r="E21" s="9" t="s">
        <v>911</v>
      </c>
      <c r="F21" s="9"/>
    </row>
    <row r="22" spans="1:6" ht="45" x14ac:dyDescent="0.25">
      <c r="A22" s="9" t="s">
        <v>773</v>
      </c>
      <c r="B22" s="9" t="s">
        <v>912</v>
      </c>
      <c r="C22" s="9" t="s">
        <v>913</v>
      </c>
      <c r="D22" s="9" t="s">
        <v>914</v>
      </c>
      <c r="E22" s="9" t="s">
        <v>915</v>
      </c>
      <c r="F22" s="9"/>
    </row>
    <row r="23" spans="1:6" ht="30" x14ac:dyDescent="0.25">
      <c r="A23" s="9" t="s">
        <v>336</v>
      </c>
      <c r="B23" s="9" t="s">
        <v>916</v>
      </c>
      <c r="C23" s="9" t="s">
        <v>917</v>
      </c>
      <c r="D23" s="9" t="s">
        <v>867</v>
      </c>
      <c r="E23" s="9" t="s">
        <v>918</v>
      </c>
      <c r="F23" s="9"/>
    </row>
    <row r="24" spans="1:6" ht="30" x14ac:dyDescent="0.25">
      <c r="A24" s="9" t="s">
        <v>919</v>
      </c>
      <c r="B24" s="9" t="s">
        <v>920</v>
      </c>
      <c r="C24" s="9" t="s">
        <v>921</v>
      </c>
      <c r="D24" s="9" t="s">
        <v>903</v>
      </c>
      <c r="E24" s="9" t="s">
        <v>922</v>
      </c>
      <c r="F24" s="9"/>
    </row>
    <row r="25" spans="1:6" ht="45" x14ac:dyDescent="0.25">
      <c r="A25" s="9" t="s">
        <v>351</v>
      </c>
      <c r="B25" s="9" t="s">
        <v>923</v>
      </c>
      <c r="C25" s="9" t="s">
        <v>84</v>
      </c>
      <c r="D25" s="9" t="s">
        <v>867</v>
      </c>
      <c r="E25" s="9" t="s">
        <v>924</v>
      </c>
      <c r="F25" s="9"/>
    </row>
    <row r="26" spans="1:6" ht="30" x14ac:dyDescent="0.25">
      <c r="A26" s="9" t="s">
        <v>925</v>
      </c>
      <c r="B26" s="9" t="s">
        <v>926</v>
      </c>
      <c r="C26" s="9" t="s">
        <v>927</v>
      </c>
      <c r="D26" s="9" t="s">
        <v>928</v>
      </c>
      <c r="E26" s="9" t="s">
        <v>929</v>
      </c>
      <c r="F26" s="9"/>
    </row>
    <row r="27" spans="1:6" ht="30" x14ac:dyDescent="0.25">
      <c r="A27" s="9" t="s">
        <v>288</v>
      </c>
      <c r="B27" s="9" t="s">
        <v>930</v>
      </c>
      <c r="C27" s="9" t="s">
        <v>913</v>
      </c>
      <c r="D27" s="9" t="s">
        <v>867</v>
      </c>
      <c r="E27" s="9" t="s">
        <v>931</v>
      </c>
      <c r="F27" s="9"/>
    </row>
    <row r="28" spans="1:6" ht="30" x14ac:dyDescent="0.25">
      <c r="A28" s="9" t="s">
        <v>297</v>
      </c>
      <c r="B28" s="9" t="s">
        <v>932</v>
      </c>
      <c r="C28" s="9" t="s">
        <v>913</v>
      </c>
      <c r="D28" s="9" t="s">
        <v>867</v>
      </c>
      <c r="E28" s="9" t="s">
        <v>933</v>
      </c>
      <c r="F28" s="9"/>
    </row>
    <row r="29" spans="1:6" ht="30" x14ac:dyDescent="0.25">
      <c r="A29" s="9" t="s">
        <v>305</v>
      </c>
      <c r="B29" s="9" t="s">
        <v>934</v>
      </c>
      <c r="C29" s="9" t="s">
        <v>913</v>
      </c>
      <c r="D29" s="9" t="s">
        <v>867</v>
      </c>
      <c r="E29" s="9" t="s">
        <v>935</v>
      </c>
      <c r="F29" s="9"/>
    </row>
    <row r="30" spans="1:6" ht="30" x14ac:dyDescent="0.25">
      <c r="A30" s="9" t="s">
        <v>312</v>
      </c>
      <c r="B30" s="9" t="s">
        <v>936</v>
      </c>
      <c r="C30" s="9" t="s">
        <v>913</v>
      </c>
      <c r="D30" s="9" t="s">
        <v>867</v>
      </c>
      <c r="E30" s="9" t="s">
        <v>937</v>
      </c>
      <c r="F30" s="9"/>
    </row>
    <row r="31" spans="1:6" ht="30" x14ac:dyDescent="0.25">
      <c r="A31" s="9" t="s">
        <v>321</v>
      </c>
      <c r="B31" s="9" t="s">
        <v>938</v>
      </c>
      <c r="C31" s="9" t="s">
        <v>913</v>
      </c>
      <c r="D31" s="9" t="s">
        <v>867</v>
      </c>
      <c r="E31" s="9" t="s">
        <v>939</v>
      </c>
      <c r="F31" s="9"/>
    </row>
    <row r="32" spans="1:6" ht="45" x14ac:dyDescent="0.25">
      <c r="A32" s="9" t="s">
        <v>367</v>
      </c>
      <c r="B32" s="9" t="s">
        <v>940</v>
      </c>
      <c r="C32" s="9" t="s">
        <v>358</v>
      </c>
      <c r="D32" s="9" t="s">
        <v>867</v>
      </c>
      <c r="E32" s="9" t="s">
        <v>941</v>
      </c>
      <c r="F32" s="9"/>
    </row>
  </sheetData>
  <autoFilter ref="A1:F32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Base_campagnes</vt:lpstr>
      <vt:lpstr>Outcomes_long</vt:lpstr>
      <vt:lpstr>Dictionnaire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CHICOT, Bastien (ARS-BFC/DIS)</cp:lastModifiedBy>
  <dcterms:created xsi:type="dcterms:W3CDTF">2026-08-27T12:45:50Z</dcterms:created>
  <dcterms:modified xsi:type="dcterms:W3CDTF">2026-08-27T13:22:58Z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094c1fb-3db8-4cce-b079-9b022302847f_Enabled">
    <vt:lpwstr>true</vt:lpwstr>
  </property>
  <property fmtid="{D5CDD505-2E9C-101B-9397-08002B2CF9AE}" pid="3" name="MSIP_Label_3094c1fb-3db8-4cce-b079-9b022302847f_SetDate">
    <vt:lpwstr>2026-08-27T13:22:44Z</vt:lpwstr>
  </property>
  <property fmtid="{D5CDD505-2E9C-101B-9397-08002B2CF9AE}" pid="4" name="MSIP_Label_3094c1fb-3db8-4cce-b079-9b022302847f_Method">
    <vt:lpwstr>Standard</vt:lpwstr>
  </property>
  <property fmtid="{D5CDD505-2E9C-101B-9397-08002B2CF9AE}" pid="5" name="MSIP_Label_3094c1fb-3db8-4cce-b079-9b022302847f_Name">
    <vt:lpwstr>[Prod v5] C1 - Standard</vt:lpwstr>
  </property>
  <property fmtid="{D5CDD505-2E9C-101B-9397-08002B2CF9AE}" pid="6" name="MSIP_Label_3094c1fb-3db8-4cce-b079-9b022302847f_SiteId">
    <vt:lpwstr>035e5292-5a25-4509-bb08-a555f7d31a8b</vt:lpwstr>
  </property>
  <property fmtid="{D5CDD505-2E9C-101B-9397-08002B2CF9AE}" pid="7" name="MSIP_Label_3094c1fb-3db8-4cce-b079-9b022302847f_ActionId">
    <vt:lpwstr>142d8468-d300-4d75-83f7-13a20a39a20c</vt:lpwstr>
  </property>
  <property fmtid="{D5CDD505-2E9C-101B-9397-08002B2CF9AE}" pid="8" name="MSIP_Label_3094c1fb-3db8-4cce-b079-9b022302847f_ContentBits">
    <vt:lpwstr>0</vt:lpwstr>
  </property>
  <property fmtid="{D5CDD505-2E9C-101B-9397-08002B2CF9AE}" pid="9" name="MSIP_Label_3094c1fb-3db8-4cce-b079-9b022302847f_Tag">
    <vt:lpwstr>10, 3, 0, 1</vt:lpwstr>
  </property>
</Properties>
</file>